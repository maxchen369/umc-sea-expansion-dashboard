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<sst xmlns="http://schemas.openxmlformats.org/spreadsheetml/2006/main" count="41" uniqueCount="41">
  <si>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借貸成本敏感度分析 — 假設</t>
  </si>
  <si>
    <r>
      <rPr>
        <i val="true"/>
        <sz val="9"/>
        <color rgb="FF808080"/>
        <rFont val="Noto Sans CJK SC"/>
        <family val="2"/>
      </rPr>
      <t xml:space="preserve">藍字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可調整輸入 </t>
    </r>
    <r>
      <rPr>
        <i val="true"/>
        <sz val="9"/>
        <color rgb="FF808080"/>
        <rFont val="Arial"/>
        <family val="0"/>
        <charset val="1"/>
      </rPr>
      <t xml:space="preserve">; </t>
    </r>
    <r>
      <rPr>
        <i val="true"/>
        <sz val="9"/>
        <color rgb="FF808080"/>
        <rFont val="Noto Sans CJK SC"/>
        <family val="2"/>
      </rPr>
      <t xml:space="preserve">黑字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公式</t>
    </r>
  </si>
  <si>
    <t xml:space="preserve">利率參數</t>
  </si>
  <si>
    <r>
      <rPr>
        <sz val="11"/>
        <rFont val="Arial"/>
        <family val="0"/>
        <charset val="1"/>
      </rPr>
      <t xml:space="preserve">SGD </t>
    </r>
    <r>
      <rPr>
        <sz val="11"/>
        <rFont val="Noto Sans CJK SC"/>
        <family val="2"/>
      </rPr>
      <t xml:space="preserve">借款利率</t>
    </r>
  </si>
  <si>
    <t xml:space="preserve">新幣借款利率（較低）</t>
  </si>
  <si>
    <r>
      <rPr>
        <sz val="11"/>
        <rFont val="Noto Sans CJK SC"/>
        <family val="2"/>
      </rPr>
      <t xml:space="preserve">利差 </t>
    </r>
    <r>
      <rPr>
        <sz val="11"/>
        <rFont val="Arial"/>
        <family val="0"/>
        <charset val="1"/>
      </rPr>
      <t xml:space="preserve">USD − SGD (bps)</t>
    </r>
  </si>
  <si>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利率高於 </t>
    </r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的幅度</t>
    </r>
  </si>
  <si>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借款利率</t>
    </r>
  </si>
  <si>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利率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</rPr>
      <t xml:space="preserve">利差</t>
    </r>
    <r>
      <rPr>
        <i val="true"/>
        <sz val="9"/>
        <color rgb="FF808080"/>
        <rFont val="Arial"/>
        <family val="0"/>
        <charset val="1"/>
      </rPr>
      <t xml:space="preserve">/10000</t>
    </r>
    <r>
      <rPr>
        <i val="true"/>
        <sz val="9"/>
        <color rgb="FF808080"/>
        <rFont val="Noto Sans CJK SC"/>
        <family val="2"/>
      </rPr>
      <t xml:space="preserve">（自動維持一致）</t>
    </r>
  </si>
  <si>
    <t xml:space="preserve">匯率參數</t>
  </si>
  <si>
    <r>
      <rPr>
        <sz val="11"/>
        <rFont val="Arial"/>
        <family val="0"/>
        <charset val="1"/>
      </rPr>
      <t xml:space="preserve">SGD/USD </t>
    </r>
    <r>
      <rPr>
        <sz val="11"/>
        <rFont val="Noto Sans CJK SC"/>
        <family val="2"/>
      </rPr>
      <t xml:space="preserve">即期匯率</t>
    </r>
  </si>
  <si>
    <t xml:space="preserve">1 SGD = 0.775 USD</t>
  </si>
  <si>
    <r>
      <rPr>
        <sz val="11"/>
        <rFont val="Noto Sans CJK SC"/>
        <family val="2"/>
      </rPr>
      <t xml:space="preserve">借款期間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年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</si>
  <si>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1 </t>
    </r>
    <r>
      <rPr>
        <i val="true"/>
        <sz val="9"/>
        <color rgb="FF808080"/>
        <rFont val="Noto Sans CJK SC"/>
        <family val="2"/>
      </rPr>
      <t xml:space="preserve">年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直接年化比較</t>
    </r>
  </si>
  <si>
    <t xml:space="preserve">情境格點設定</t>
  </si>
  <si>
    <r>
      <rPr>
        <sz val="11"/>
        <rFont val="Noto Sans CJK SC"/>
        <family val="2"/>
      </rPr>
      <t xml:space="preserve">利差起點 </t>
    </r>
    <r>
      <rPr>
        <sz val="11"/>
        <rFont val="Arial"/>
        <family val="0"/>
        <charset val="1"/>
      </rPr>
      <t xml:space="preserve">(bps)</t>
    </r>
  </si>
  <si>
    <r>
      <rPr>
        <i val="true"/>
        <sz val="9"/>
        <color rgb="FF808080"/>
        <rFont val="Arial"/>
        <family val="0"/>
        <charset val="1"/>
      </rPr>
      <t xml:space="preserve">Analysis </t>
    </r>
    <r>
      <rPr>
        <i val="true"/>
        <sz val="9"/>
        <color rgb="FF808080"/>
        <rFont val="Noto Sans CJK SC"/>
        <family val="2"/>
      </rPr>
      <t xml:space="preserve">表的列（縱向）</t>
    </r>
  </si>
  <si>
    <r>
      <rPr>
        <sz val="11"/>
        <rFont val="Noto Sans CJK SC"/>
        <family val="2"/>
      </rPr>
      <t xml:space="preserve">利差步長 </t>
    </r>
    <r>
      <rPr>
        <sz val="11"/>
        <rFont val="Arial"/>
        <family val="0"/>
        <charset val="1"/>
      </rPr>
      <t xml:space="preserve">(bps)</t>
    </r>
  </si>
  <si>
    <r>
      <rPr>
        <i val="true"/>
        <sz val="9"/>
        <color rgb="FF808080"/>
        <rFont val="Noto Sans CJK SC"/>
        <family val="2"/>
      </rPr>
      <t xml:space="preserve">預設 </t>
    </r>
    <r>
      <rPr>
        <i val="true"/>
        <sz val="9"/>
        <color rgb="FF808080"/>
        <rFont val="Arial"/>
        <family val="0"/>
        <charset val="1"/>
      </rPr>
      <t xml:space="preserve">0→500bps</t>
    </r>
    <r>
      <rPr>
        <i val="true"/>
        <sz val="9"/>
        <color rgb="FF808080"/>
        <rFont val="Noto Sans CJK SC"/>
        <family val="2"/>
      </rPr>
      <t xml:space="preserve">，共 </t>
    </r>
    <r>
      <rPr>
        <i val="true"/>
        <sz val="9"/>
        <color rgb="FF808080"/>
        <rFont val="Arial"/>
        <family val="0"/>
        <charset val="1"/>
      </rPr>
      <t xml:space="preserve">21 </t>
    </r>
    <r>
      <rPr>
        <i val="true"/>
        <sz val="9"/>
        <color rgb="FF808080"/>
        <rFont val="Noto Sans CJK SC"/>
        <family val="2"/>
      </rPr>
      <t xml:space="preserve">列</t>
    </r>
  </si>
  <si>
    <r>
      <rPr>
        <sz val="11"/>
        <rFont val="Arial"/>
        <family val="0"/>
        <charset val="1"/>
      </rPr>
      <t xml:space="preserve">SGD </t>
    </r>
    <r>
      <rPr>
        <sz val="11"/>
        <rFont val="Noto Sans CJK SC"/>
        <family val="2"/>
      </rPr>
      <t xml:space="preserve">變動起點</t>
    </r>
  </si>
  <si>
    <r>
      <rPr>
        <i val="true"/>
        <sz val="9"/>
        <color rgb="FF808080"/>
        <rFont val="Arial"/>
        <family val="0"/>
        <charset val="1"/>
      </rPr>
      <t xml:space="preserve">Analysis </t>
    </r>
    <r>
      <rPr>
        <i val="true"/>
        <sz val="9"/>
        <color rgb="FF808080"/>
        <rFont val="Noto Sans CJK SC"/>
        <family val="2"/>
      </rPr>
      <t xml:space="preserve">表的欄（橫向）</t>
    </r>
  </si>
  <si>
    <r>
      <rPr>
        <sz val="11"/>
        <rFont val="Arial"/>
        <family val="0"/>
        <charset val="1"/>
      </rPr>
      <t xml:space="preserve">SGD </t>
    </r>
    <r>
      <rPr>
        <sz val="11"/>
        <rFont val="Noto Sans CJK SC"/>
        <family val="2"/>
      </rPr>
      <t xml:space="preserve">變動步長</t>
    </r>
  </si>
  <si>
    <r>
      <rPr>
        <i val="true"/>
        <sz val="9"/>
        <color rgb="FF808080"/>
        <rFont val="Noto Sans CJK SC"/>
        <family val="2"/>
      </rPr>
      <t xml:space="preserve">預設 −</t>
    </r>
    <r>
      <rPr>
        <i val="true"/>
        <sz val="9"/>
        <color rgb="FF808080"/>
        <rFont val="Arial"/>
        <family val="0"/>
        <charset val="1"/>
      </rPr>
      <t xml:space="preserve">15%→+15%</t>
    </r>
    <r>
      <rPr>
        <i val="true"/>
        <sz val="9"/>
        <color rgb="FF808080"/>
        <rFont val="Noto Sans CJK SC"/>
        <family val="2"/>
      </rPr>
      <t xml:space="preserve">，共 </t>
    </r>
    <r>
      <rPr>
        <i val="true"/>
        <sz val="9"/>
        <color rgb="FF808080"/>
        <rFont val="Arial"/>
        <family val="0"/>
        <charset val="1"/>
      </rPr>
      <t xml:space="preserve">13 </t>
    </r>
    <r>
      <rPr>
        <i val="true"/>
        <sz val="9"/>
        <color rgb="FF808080"/>
        <rFont val="Noto Sans CJK SC"/>
        <family val="2"/>
      </rPr>
      <t xml:space="preserve">欄</t>
    </r>
  </si>
  <si>
    <t xml:space="preserve">模型說明</t>
  </si>
  <si>
    <r>
      <rPr>
        <sz val="9"/>
        <rFont val="Noto Sans CJK SC"/>
        <family val="2"/>
      </rPr>
      <t xml:space="preserve">• 以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為記帳幣別。借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無匯兌風險，成本 </t>
    </r>
    <r>
      <rPr>
        <sz val="9"/>
        <rFont val="Arial"/>
        <family val="0"/>
        <charset val="1"/>
      </rPr>
      <t xml:space="preserve">= SGD </t>
    </r>
    <r>
      <rPr>
        <sz val="9"/>
        <rFont val="Noto Sans CJK SC"/>
        <family val="2"/>
      </rPr>
      <t xml:space="preserve">利率。</t>
    </r>
  </si>
  <si>
    <r>
      <rPr>
        <sz val="9"/>
        <rFont val="Noto Sans CJK SC"/>
        <family val="2"/>
      </rPr>
      <t xml:space="preserve">• 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有匯兌風險：全包成本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以</t>
    </r>
    <r>
      <rPr>
        <sz val="9"/>
        <rFont val="Arial"/>
        <family val="0"/>
        <charset val="1"/>
      </rPr>
      <t xml:space="preserve">SGD</t>
    </r>
    <r>
      <rPr>
        <sz val="9"/>
        <rFont val="Noto Sans CJK SC"/>
        <family val="2"/>
      </rPr>
      <t xml:space="preserve">衡量</t>
    </r>
    <r>
      <rPr>
        <sz val="9"/>
        <rFont val="Arial"/>
        <family val="0"/>
        <charset val="1"/>
      </rPr>
      <t xml:space="preserve">) = (1 + USD</t>
    </r>
    <r>
      <rPr>
        <sz val="9"/>
        <rFont val="Noto Sans CJK SC"/>
        <family val="2"/>
      </rPr>
      <t xml:space="preserve">利率</t>
    </r>
    <r>
      <rPr>
        <sz val="9"/>
        <rFont val="Arial"/>
        <family val="0"/>
        <charset val="1"/>
      </rPr>
      <t xml:space="preserve">) ÷ (1 + SGD</t>
    </r>
    <r>
      <rPr>
        <sz val="9"/>
        <rFont val="Noto Sans CJK SC"/>
        <family val="2"/>
      </rPr>
      <t xml:space="preserve">變動</t>
    </r>
    <r>
      <rPr>
        <sz val="9"/>
        <rFont val="Arial"/>
        <family val="0"/>
        <charset val="1"/>
      </rPr>
      <t xml:space="preserve">) − 1</t>
    </r>
    <r>
      <rPr>
        <sz val="9"/>
        <rFont val="Noto Sans CJK SC"/>
        <family val="2"/>
      </rPr>
      <t xml:space="preserve">。</t>
    </r>
  </si>
  <si>
    <r>
      <rPr>
        <sz val="9"/>
        <rFont val="Arial"/>
        <family val="0"/>
        <charset val="1"/>
      </rPr>
      <t xml:space="preserve">• SGD </t>
    </r>
    <r>
      <rPr>
        <sz val="9"/>
        <rFont val="Noto Sans CJK SC"/>
        <family val="2"/>
      </rPr>
      <t xml:space="preserve">變動為「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相對 </t>
    </r>
    <r>
      <rPr>
        <sz val="9"/>
        <rFont val="Arial"/>
        <family val="0"/>
        <charset val="1"/>
      </rPr>
      <t xml:space="preserve">USD</t>
    </r>
    <r>
      <rPr>
        <sz val="9"/>
        <rFont val="Noto Sans CJK SC"/>
        <family val="2"/>
      </rPr>
      <t xml:space="preserve">」：正 </t>
    </r>
    <r>
      <rPr>
        <sz val="9"/>
        <rFont val="Arial"/>
        <family val="0"/>
        <charset val="1"/>
      </rPr>
      <t xml:space="preserve">= SGD </t>
    </r>
    <r>
      <rPr>
        <sz val="9"/>
        <rFont val="Noto Sans CJK SC"/>
        <family val="2"/>
      </rPr>
      <t xml:space="preserve">升值（借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有利），負 </t>
    </r>
    <r>
      <rPr>
        <sz val="9"/>
        <rFont val="Arial"/>
        <family val="0"/>
        <charset val="1"/>
      </rPr>
      <t xml:space="preserve">= SGD </t>
    </r>
    <r>
      <rPr>
        <sz val="9"/>
        <rFont val="Noto Sans CJK SC"/>
        <family val="2"/>
      </rPr>
      <t xml:space="preserve">貶值（借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不利）。</t>
    </r>
  </si>
  <si>
    <r>
      <rPr>
        <sz val="9"/>
        <rFont val="Noto Sans CJK SC"/>
        <family val="2"/>
      </rPr>
      <t xml:space="preserve">• 成本差 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借</t>
    </r>
    <r>
      <rPr>
        <sz val="9"/>
        <rFont val="Arial"/>
        <family val="0"/>
        <charset val="1"/>
      </rPr>
      <t xml:space="preserve">USD − </t>
    </r>
    <r>
      <rPr>
        <sz val="9"/>
        <rFont val="Noto Sans CJK SC"/>
        <family val="2"/>
      </rPr>
      <t xml:space="preserve">借</t>
    </r>
    <r>
      <rPr>
        <sz val="9"/>
        <rFont val="Arial"/>
        <family val="0"/>
        <charset val="1"/>
      </rPr>
      <t xml:space="preserve">SGD</t>
    </r>
    <r>
      <rPr>
        <sz val="9"/>
        <rFont val="Noto Sans CJK SC"/>
        <family val="2"/>
      </rPr>
      <t xml:space="preserve">。負值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綠</t>
    </r>
    <r>
      <rPr>
        <sz val="9"/>
        <rFont val="Arial"/>
        <family val="0"/>
        <charset val="1"/>
      </rPr>
      <t xml:space="preserve">) = </t>
    </r>
    <r>
      <rPr>
        <sz val="9"/>
        <rFont val="Noto Sans CJK SC"/>
        <family val="2"/>
      </rPr>
      <t xml:space="preserve">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較省；正值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紅</t>
    </r>
    <r>
      <rPr>
        <sz val="9"/>
        <rFont val="Arial"/>
        <family val="0"/>
        <charset val="1"/>
      </rPr>
      <t xml:space="preserve">) = </t>
    </r>
    <r>
      <rPr>
        <sz val="9"/>
        <rFont val="Noto Sans CJK SC"/>
        <family val="2"/>
      </rPr>
      <t xml:space="preserve">借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較省。</t>
    </r>
  </si>
  <si>
    <r>
      <rPr>
        <sz val="9"/>
        <rFont val="Noto Sans CJK SC"/>
        <family val="2"/>
      </rPr>
      <t xml:space="preserve">• 因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利率較低，匯率不變時借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佔優；借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需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升值才划算。</t>
    </r>
  </si>
  <si>
    <r>
      <rPr>
        <sz val="9"/>
        <rFont val="Noto Sans CJK SC"/>
        <family val="2"/>
      </rPr>
      <t xml:space="preserve">• 此為未避險成本。若以遠期鎖定，</t>
    </r>
    <r>
      <rPr>
        <sz val="9"/>
        <rFont val="Arial"/>
        <family val="0"/>
        <charset val="1"/>
      </rPr>
      <t xml:space="preserve">CIP </t>
    </r>
    <r>
      <rPr>
        <sz val="9"/>
        <rFont val="Noto Sans CJK SC"/>
        <family val="2"/>
      </rPr>
      <t xml:space="preserve">下遠期點數約略抵銷利差。</t>
    </r>
  </si>
  <si>
    <r>
      <rPr>
        <b val="true"/>
        <sz val="14"/>
        <rFont val="Noto Sans CJK SC"/>
        <family val="2"/>
      </rPr>
      <t xml:space="preserve">敏感度矩陣：借 </t>
    </r>
    <r>
      <rPr>
        <b val="true"/>
        <sz val="14"/>
        <rFont val="Arial"/>
        <family val="0"/>
        <charset val="1"/>
      </rPr>
      <t xml:space="preserve">USD vs </t>
    </r>
    <r>
      <rPr>
        <b val="true"/>
        <sz val="14"/>
        <rFont val="Noto Sans CJK SC"/>
        <family val="2"/>
      </rPr>
      <t xml:space="preserve">借 </t>
    </r>
    <r>
      <rPr>
        <b val="true"/>
        <sz val="14"/>
        <rFont val="Arial"/>
        <family val="0"/>
        <charset val="1"/>
      </rPr>
      <t xml:space="preserve">SGD </t>
    </r>
    <r>
      <rPr>
        <b val="true"/>
        <sz val="14"/>
        <rFont val="Noto Sans CJK SC"/>
        <family val="2"/>
      </rPr>
      <t xml:space="preserve">的成本差（以 </t>
    </r>
    <r>
      <rPr>
        <b val="true"/>
        <sz val="14"/>
        <rFont val="Arial"/>
        <family val="0"/>
        <charset val="1"/>
      </rPr>
      <t xml:space="preserve">SGD </t>
    </r>
    <r>
      <rPr>
        <b val="true"/>
        <sz val="14"/>
        <rFont val="Noto Sans CJK SC"/>
        <family val="2"/>
      </rPr>
      <t xml:space="preserve">衡量）</t>
    </r>
  </si>
  <si>
    <r>
      <rPr>
        <i val="true"/>
        <sz val="9"/>
        <color rgb="FF808080"/>
        <rFont val="Noto Sans CJK SC"/>
        <family val="2"/>
      </rPr>
      <t xml:space="preserve">列 </t>
    </r>
    <r>
      <rPr>
        <i val="true"/>
        <sz val="9"/>
        <color rgb="FF808080"/>
        <rFont val="Arial"/>
        <family val="0"/>
        <charset val="1"/>
      </rPr>
      <t xml:space="preserve">= USD−SGD </t>
    </r>
    <r>
      <rPr>
        <i val="true"/>
        <sz val="9"/>
        <color rgb="FF808080"/>
        <rFont val="Noto Sans CJK SC"/>
        <family val="2"/>
      </rPr>
      <t xml:space="preserve">利差 </t>
    </r>
    <r>
      <rPr>
        <i val="true"/>
        <sz val="9"/>
        <color rgb="FF808080"/>
        <rFont val="Arial"/>
        <family val="0"/>
        <charset val="1"/>
      </rPr>
      <t xml:space="preserve">(bps)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欄 </t>
    </r>
    <r>
      <rPr>
        <i val="true"/>
        <sz val="9"/>
        <color rgb="FF808080"/>
        <rFont val="Arial"/>
        <family val="0"/>
        <charset val="1"/>
      </rPr>
      <t xml:space="preserve">= SGD </t>
    </r>
    <r>
      <rPr>
        <i val="true"/>
        <sz val="9"/>
        <color rgb="FF808080"/>
        <rFont val="Noto Sans CJK SC"/>
        <family val="2"/>
      </rPr>
      <t xml:space="preserve">相對 </t>
    </r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變動 </t>
    </r>
    <r>
      <rPr>
        <i val="true"/>
        <sz val="9"/>
        <color rgb="FF808080"/>
        <rFont val="Arial"/>
        <family val="0"/>
        <charset val="1"/>
      </rPr>
      <t xml:space="preserve">(%)</t>
    </r>
  </si>
  <si>
    <r>
      <rPr>
        <i val="true"/>
        <sz val="9"/>
        <color rgb="FF808080"/>
        <rFont val="Noto Sans CJK SC"/>
        <family val="2"/>
      </rPr>
      <t xml:space="preserve">負值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綠</t>
    </r>
    <r>
      <rPr>
        <i val="true"/>
        <sz val="9"/>
        <color rgb="FF808080"/>
        <rFont val="Arial"/>
        <family val="0"/>
        <charset val="1"/>
      </rPr>
      <t xml:space="preserve">) = </t>
    </r>
    <r>
      <rPr>
        <i val="true"/>
        <sz val="9"/>
        <color rgb="FF808080"/>
        <rFont val="Noto Sans CJK SC"/>
        <family val="2"/>
      </rPr>
      <t xml:space="preserve">借 </t>
    </r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較省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正值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紅</t>
    </r>
    <r>
      <rPr>
        <i val="true"/>
        <sz val="9"/>
        <color rgb="FF808080"/>
        <rFont val="Arial"/>
        <family val="0"/>
        <charset val="1"/>
      </rPr>
      <t xml:space="preserve">) = </t>
    </r>
    <r>
      <rPr>
        <i val="true"/>
        <sz val="9"/>
        <color rgb="FF808080"/>
        <rFont val="Noto Sans CJK SC"/>
        <family val="2"/>
      </rPr>
      <t xml:space="preserve">借 </t>
    </r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較省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0 = </t>
    </r>
    <r>
      <rPr>
        <i val="true"/>
        <sz val="9"/>
        <color rgb="FF808080"/>
        <rFont val="Noto Sans CJK SC"/>
        <family val="2"/>
      </rPr>
      <t xml:space="preserve">損益兩平</t>
    </r>
  </si>
  <si>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利率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借</t>
    </r>
    <r>
      <rPr>
        <sz val="9"/>
        <rFont val="Arial"/>
        <family val="0"/>
        <charset val="1"/>
      </rPr>
      <t xml:space="preserve">SGD</t>
    </r>
    <r>
      <rPr>
        <sz val="9"/>
        <rFont val="Noto Sans CJK SC"/>
        <family val="2"/>
      </rPr>
      <t xml:space="preserve">成本</t>
    </r>
    <r>
      <rPr>
        <sz val="9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</si>
  <si>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利差</t>
    </r>
    <r>
      <rPr>
        <b val="true"/>
        <sz val="11"/>
        <color rgb="FFFFFFFF"/>
        <rFont val="Arial"/>
        <family val="0"/>
        <charset val="1"/>
      </rPr>
      <t xml:space="preserve">(bps) \ SGD</t>
    </r>
    <r>
      <rPr>
        <b val="true"/>
        <sz val="11"/>
        <color rgb="FFFFFFFF"/>
        <rFont val="Noto Sans CJK SC"/>
        <family val="2"/>
      </rPr>
      <t xml:space="preserve">變動</t>
    </r>
  </si>
  <si>
    <r>
      <rPr>
        <b val="true"/>
        <sz val="11"/>
        <color rgb="FFFFFFFF"/>
        <rFont val="Noto Sans CJK SC"/>
        <family val="2"/>
      </rPr>
      <t xml:space="preserve">損益兩平</t>
    </r>
    <r>
      <rPr>
        <b val="true"/>
        <sz val="11"/>
        <color rgb="FFFFFFFF"/>
        <rFont val="Arial"/>
        <family val="0"/>
        <charset val="1"/>
      </rPr>
      <t xml:space="preserve">SGD</t>
    </r>
    <r>
      <rPr>
        <b val="true"/>
        <sz val="11"/>
        <color rgb="FFFFFFFF"/>
        <rFont val="Noto Sans CJK SC"/>
        <family val="2"/>
      </rPr>
      <t xml:space="preserve">變動</t>
    </r>
  </si>
  <si>
    <t xml:space="preserve">解讀</t>
  </si>
  <si>
    <r>
      <rPr>
        <sz val="9"/>
        <rFont val="Noto Sans CJK SC"/>
        <family val="2"/>
      </rPr>
      <t xml:space="preserve">• 最右欄「損益兩平</t>
    </r>
    <r>
      <rPr>
        <sz val="9"/>
        <rFont val="Arial"/>
        <family val="0"/>
        <charset val="1"/>
      </rPr>
      <t xml:space="preserve">SGD</t>
    </r>
    <r>
      <rPr>
        <sz val="9"/>
        <rFont val="Noto Sans CJK SC"/>
        <family val="2"/>
      </rPr>
      <t xml:space="preserve">變動」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該利差下，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需升值多少，借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才與借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等價。</t>
    </r>
  </si>
  <si>
    <r>
      <rPr>
        <sz val="9"/>
        <rFont val="Noto Sans CJK SC"/>
        <family val="2"/>
      </rPr>
      <t xml:space="preserve">• 例：利差 </t>
    </r>
    <r>
      <rPr>
        <sz val="9"/>
        <rFont val="Arial"/>
        <family val="0"/>
        <charset val="1"/>
      </rPr>
      <t xml:space="preserve">250bps → SGD </t>
    </r>
    <r>
      <rPr>
        <sz val="9"/>
        <rFont val="Noto Sans CJK SC"/>
        <family val="2"/>
      </rPr>
      <t xml:space="preserve">需升值約 </t>
    </r>
    <r>
      <rPr>
        <sz val="9"/>
        <rFont val="Arial"/>
        <family val="0"/>
        <charset val="1"/>
      </rPr>
      <t xml:space="preserve">2.47%</t>
    </r>
    <r>
      <rPr>
        <sz val="9"/>
        <rFont val="Noto Sans CJK SC"/>
        <family val="2"/>
      </rPr>
      <t xml:space="preserve">，借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才划算；否則借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較便宜。</t>
    </r>
  </si>
  <si>
    <r>
      <rPr>
        <sz val="9"/>
        <rFont val="Noto Sans CJK SC"/>
        <family val="2"/>
      </rPr>
      <t xml:space="preserve">• 矩陣中白色帶即為損益兩平邊界，其右側</t>
    </r>
    <r>
      <rPr>
        <sz val="9"/>
        <rFont val="Arial"/>
        <family val="0"/>
        <charset val="1"/>
      </rPr>
      <t xml:space="preserve">(SGD</t>
    </r>
    <r>
      <rPr>
        <sz val="9"/>
        <rFont val="Noto Sans CJK SC"/>
        <family val="2"/>
      </rPr>
      <t xml:space="preserve">升值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為綠、左側</t>
    </r>
    <r>
      <rPr>
        <sz val="9"/>
        <rFont val="Arial"/>
        <family val="0"/>
        <charset val="1"/>
      </rPr>
      <t xml:space="preserve">(SGD</t>
    </r>
    <r>
      <rPr>
        <sz val="9"/>
        <rFont val="Noto Sans CJK SC"/>
        <family val="2"/>
      </rPr>
      <t xml:space="preserve">貶值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為紅。</t>
    </r>
  </si>
  <si>
    <r>
      <rPr>
        <sz val="9"/>
        <rFont val="Noto Sans CJK SC"/>
        <family val="2"/>
      </rPr>
      <t xml:space="preserve">• 調整 </t>
    </r>
    <r>
      <rPr>
        <sz val="9"/>
        <rFont val="Arial"/>
        <family val="0"/>
        <charset val="1"/>
      </rPr>
      <t xml:space="preserve">Assumptions </t>
    </r>
    <r>
      <rPr>
        <sz val="9"/>
        <rFont val="Noto Sans CJK SC"/>
        <family val="2"/>
      </rPr>
      <t xml:space="preserve">的利差、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利率或格點設定，整張表會自動重算。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</si>
</sst>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"/>
    <numFmt numFmtId="167" formatCode="0.0000"/>
    <numFmt numFmtId="168" formatCode="0.0"/>
    <numFmt numFmtId="169" formatCode="0.0%"/>
    <numFmt numFmtId="170" formatCode="0&quot; bps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7.15" hidden="false" customHeight="false" outlineLevel="0" collapsed="false">
      <c r="B6" s="5" t="s">
        <v>3</v>
      </c>
      <c r="C6" s="6" t="n">
        <v>0.012</v>
      </c>
      <c r="D6" s="7" t="s">
        <v>4</v>
      </c>
    </row>
    <row r="7" customFormat="false" ht="17.15" hidden="false" customHeight="false" outlineLevel="0" collapsed="false">
      <c r="B7" s="8" t="s">
        <v>5</v>
      </c>
      <c r="C7" s="9" t="n">
        <v>250</v>
      </c>
      <c r="D7" s="10" t="s">
        <v>6</v>
      </c>
    </row>
    <row r="8" customFormat="false" ht="17.15" hidden="false" customHeight="false" outlineLevel="0" collapsed="false">
      <c r="B8" s="5" t="s">
        <v>7</v>
      </c>
      <c r="C8" s="11" t="n">
        <f aca="false">C6+C7/10000</f>
        <v>0.037</v>
      </c>
      <c r="D8" s="10" t="s">
        <v>8</v>
      </c>
    </row>
    <row r="10" customFormat="false" ht="15" hidden="false" customHeight="false" outlineLevel="0" collapsed="false">
      <c r="B10" s="3" t="s">
        <v>9</v>
      </c>
      <c r="C10" s="4"/>
      <c r="D10" s="4"/>
    </row>
    <row r="11" customFormat="false" ht="17.15" hidden="false" customHeight="false" outlineLevel="0" collapsed="false">
      <c r="B11" s="5" t="s">
        <v>10</v>
      </c>
      <c r="C11" s="12" t="n">
        <v>0.775</v>
      </c>
      <c r="D11" s="10" t="s">
        <v>11</v>
      </c>
    </row>
    <row r="12" customFormat="false" ht="17.15" hidden="false" customHeight="false" outlineLevel="0" collapsed="false">
      <c r="B12" s="8" t="s">
        <v>12</v>
      </c>
      <c r="C12" s="13" t="n">
        <v>1</v>
      </c>
      <c r="D12" s="10" t="s">
        <v>13</v>
      </c>
    </row>
    <row r="14" customFormat="false" ht="15" hidden="false" customHeight="false" outlineLevel="0" collapsed="false">
      <c r="B14" s="3" t="s">
        <v>14</v>
      </c>
      <c r="C14" s="4"/>
      <c r="D14" s="4"/>
    </row>
    <row r="15" customFormat="false" ht="17.15" hidden="false" customHeight="false" outlineLevel="0" collapsed="false">
      <c r="B15" s="8" t="s">
        <v>15</v>
      </c>
      <c r="C15" s="9" t="n">
        <v>0</v>
      </c>
      <c r="D15" s="10" t="s">
        <v>16</v>
      </c>
    </row>
    <row r="16" customFormat="false" ht="17.15" hidden="false" customHeight="false" outlineLevel="0" collapsed="false">
      <c r="B16" s="8" t="s">
        <v>17</v>
      </c>
      <c r="C16" s="9" t="n">
        <v>25</v>
      </c>
      <c r="D16" s="7" t="s">
        <v>18</v>
      </c>
    </row>
    <row r="17" customFormat="false" ht="17.15" hidden="false" customHeight="false" outlineLevel="0" collapsed="false">
      <c r="B17" s="5" t="s">
        <v>19</v>
      </c>
      <c r="C17" s="14" t="n">
        <v>-0.15</v>
      </c>
      <c r="D17" s="10" t="s">
        <v>20</v>
      </c>
    </row>
    <row r="18" customFormat="false" ht="17.15" hidden="false" customHeight="false" outlineLevel="0" collapsed="false">
      <c r="B18" s="5" t="s">
        <v>21</v>
      </c>
      <c r="C18" s="14" t="n">
        <v>0.025</v>
      </c>
      <c r="D18" s="7" t="s">
        <v>22</v>
      </c>
    </row>
    <row r="20" customFormat="false" ht="15" hidden="false" customHeight="false" outlineLevel="0" collapsed="false">
      <c r="B20" s="15" t="s">
        <v>23</v>
      </c>
    </row>
    <row r="21" customFormat="false" ht="15" hidden="false" customHeight="false" outlineLevel="0" collapsed="false">
      <c r="B21" s="16" t="s">
        <v>24</v>
      </c>
    </row>
    <row r="22" customFormat="false" ht="15" hidden="false" customHeight="false" outlineLevel="0" collapsed="false">
      <c r="B22" s="16" t="s">
        <v>25</v>
      </c>
    </row>
    <row r="23" customFormat="false" ht="15" hidden="false" customHeight="false" outlineLevel="0" collapsed="false">
      <c r="B23" s="17" t="s">
        <v>26</v>
      </c>
    </row>
    <row r="24" customFormat="false" ht="15" hidden="false" customHeight="false" outlineLevel="0" collapsed="false">
      <c r="B24" s="16" t="s">
        <v>27</v>
      </c>
    </row>
    <row r="25" customFormat="false" ht="15" hidden="false" customHeight="false" outlineLevel="0" collapsed="false">
      <c r="B25" s="16" t="s">
        <v>28</v>
      </c>
    </row>
    <row r="26" customFormat="false" ht="15" hidden="false" customHeight="false" outlineLevel="0" collapsed="false">
      <c r="B26" s="1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5" min="3" style="0" width="10"/>
    <col collapsed="false" customWidth="true" hidden="false" outlineLevel="0" max="16" min="16" style="0" width="16"/>
  </cols>
  <sheetData>
    <row r="2" customFormat="false" ht="21.6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4" customFormat="false" ht="15" hidden="false" customHeight="false" outlineLevel="0" collapsed="false">
      <c r="B4" s="2" t="s">
        <v>32</v>
      </c>
    </row>
    <row r="6" customFormat="false" ht="15" hidden="false" customHeight="false" outlineLevel="0" collapsed="false">
      <c r="B6" s="18" t="s">
        <v>33</v>
      </c>
      <c r="C6" s="11" t="n">
        <f aca="false">Assumptions!C6</f>
        <v>0.012</v>
      </c>
    </row>
    <row r="8" customFormat="false" ht="17.15" hidden="false" customHeight="false" outlineLevel="0" collapsed="false">
      <c r="B8" s="19" t="s">
        <v>34</v>
      </c>
      <c r="C8" s="20" t="n">
        <f aca="false">Assumptions!$C$17 + 0*Assumptions!$C$18</f>
        <v>-0.15</v>
      </c>
      <c r="D8" s="20" t="n">
        <f aca="false">Assumptions!$C$17 + 1*Assumptions!$C$18</f>
        <v>-0.125</v>
      </c>
      <c r="E8" s="20" t="n">
        <f aca="false">Assumptions!$C$17 + 2*Assumptions!$C$18</f>
        <v>-0.1</v>
      </c>
      <c r="F8" s="20" t="n">
        <f aca="false">Assumptions!$C$17 + 3*Assumptions!$C$18</f>
        <v>-0.075</v>
      </c>
      <c r="G8" s="20" t="n">
        <f aca="false">Assumptions!$C$17 + 4*Assumptions!$C$18</f>
        <v>-0.05</v>
      </c>
      <c r="H8" s="20" t="n">
        <f aca="false">Assumptions!$C$17 + 5*Assumptions!$C$18</f>
        <v>-0.025</v>
      </c>
      <c r="I8" s="20" t="n">
        <f aca="false">Assumptions!$C$17 + 6*Assumptions!$C$18</f>
        <v>0</v>
      </c>
      <c r="J8" s="20" t="n">
        <f aca="false">Assumptions!$C$17 + 7*Assumptions!$C$18</f>
        <v>0.025</v>
      </c>
      <c r="K8" s="20" t="n">
        <f aca="false">Assumptions!$C$17 + 8*Assumptions!$C$18</f>
        <v>0.05</v>
      </c>
      <c r="L8" s="20" t="n">
        <f aca="false">Assumptions!$C$17 + 9*Assumptions!$C$18</f>
        <v>0.075</v>
      </c>
      <c r="M8" s="20" t="n">
        <f aca="false">Assumptions!$C$17 + 10*Assumptions!$C$18</f>
        <v>0.1</v>
      </c>
      <c r="N8" s="20" t="n">
        <f aca="false">Assumptions!$C$17 + 11*Assumptions!$C$18</f>
        <v>0.125</v>
      </c>
      <c r="O8" s="20" t="n">
        <f aca="false">Assumptions!$C$17 + 12*Assumptions!$C$18</f>
        <v>0.15</v>
      </c>
      <c r="P8" s="21" t="s">
        <v>35</v>
      </c>
    </row>
    <row r="9" customFormat="false" ht="15" hidden="false" customHeight="false" outlineLevel="0" collapsed="false">
      <c r="B9" s="22" t="n">
        <f aca="false">Assumptions!$C$15 + 0*Assumptions!$C$16</f>
        <v>0</v>
      </c>
      <c r="C9" s="23" t="n">
        <f aca="false">(1+(Assumptions!$C$6 + $B9/10000))/(1+C$8)-1-Assumptions!$C$6</f>
        <v>0.178588235294118</v>
      </c>
      <c r="D9" s="23" t="n">
        <f aca="false">(1+(Assumptions!$C$6 + $B9/10000))/(1+D$8)-1-Assumptions!$C$6</f>
        <v>0.144571428571429</v>
      </c>
      <c r="E9" s="23" t="n">
        <f aca="false">(1+(Assumptions!$C$6 + $B9/10000))/(1+E$8)-1-Assumptions!$C$6</f>
        <v>0.112444444444444</v>
      </c>
      <c r="F9" s="23" t="n">
        <f aca="false">(1+(Assumptions!$C$6 + $B9/10000))/(1+F$8)-1-Assumptions!$C$6</f>
        <v>0.082054054054054</v>
      </c>
      <c r="G9" s="23" t="n">
        <f aca="false">(1+(Assumptions!$C$6 + $B9/10000))/(1+G$8)-1-Assumptions!$C$6</f>
        <v>0.0532631578947369</v>
      </c>
      <c r="H9" s="23" t="n">
        <f aca="false">(1+(Assumptions!$C$6 + $B9/10000))/(1+H$8)-1-Assumptions!$C$6</f>
        <v>0.0259487179487179</v>
      </c>
      <c r="I9" s="23" t="n">
        <f aca="false">(1+(Assumptions!$C$6 + $B9/10000))/(1+I$8)-1-Assumptions!$C$6</f>
        <v>0</v>
      </c>
      <c r="J9" s="23" t="n">
        <f aca="false">(1+(Assumptions!$C$6 + $B9/10000))/(1+J$8)-1-Assumptions!$C$6</f>
        <v>-0.0246829268292682</v>
      </c>
      <c r="K9" s="23" t="n">
        <f aca="false">(1+(Assumptions!$C$6 + $B9/10000))/(1+K$8)-1-Assumptions!$C$6</f>
        <v>-0.0481904761904762</v>
      </c>
      <c r="L9" s="23" t="n">
        <f aca="false">(1+(Assumptions!$C$6 + $B9/10000))/(1+L$8)-1-Assumptions!$C$6</f>
        <v>-0.0706046511627907</v>
      </c>
      <c r="M9" s="23" t="n">
        <f aca="false">(1+(Assumptions!$C$6 + $B9/10000))/(1+M$8)-1-Assumptions!$C$6</f>
        <v>-0.0920000000000001</v>
      </c>
      <c r="N9" s="23" t="n">
        <f aca="false">(1+(Assumptions!$C$6 + $B9/10000))/(1+N$8)-1-Assumptions!$C$6</f>
        <v>-0.112444444444444</v>
      </c>
      <c r="O9" s="23" t="n">
        <f aca="false">(1+(Assumptions!$C$6 + $B9/10000))/(1+O$8)-1-Assumptions!$C$6</f>
        <v>-0.132</v>
      </c>
      <c r="P9" s="24" t="n">
        <f aca="false">(1+(Assumptions!$C$6 + $B9/10000))/(1+Assumptions!$C$6)-1</f>
        <v>0</v>
      </c>
    </row>
    <row r="10" customFormat="false" ht="15" hidden="false" customHeight="false" outlineLevel="0" collapsed="false">
      <c r="B10" s="22" t="n">
        <f aca="false">Assumptions!$C$15 + 1*Assumptions!$C$16</f>
        <v>25</v>
      </c>
      <c r="C10" s="23" t="n">
        <f aca="false">(1+(Assumptions!$C$6 + $B10/10000))/(1+C$8)-1-Assumptions!$C$6</f>
        <v>0.181529411764706</v>
      </c>
      <c r="D10" s="23" t="n">
        <f aca="false">(1+(Assumptions!$C$6 + $B10/10000))/(1+D$8)-1-Assumptions!$C$6</f>
        <v>0.147428571428571</v>
      </c>
      <c r="E10" s="23" t="n">
        <f aca="false">(1+(Assumptions!$C$6 + $B10/10000))/(1+E$8)-1-Assumptions!$C$6</f>
        <v>0.115222222222222</v>
      </c>
      <c r="F10" s="23" t="n">
        <f aca="false">(1+(Assumptions!$C$6 + $B10/10000))/(1+F$8)-1-Assumptions!$C$6</f>
        <v>0.0847567567567567</v>
      </c>
      <c r="G10" s="23" t="n">
        <f aca="false">(1+(Assumptions!$C$6 + $B10/10000))/(1+G$8)-1-Assumptions!$C$6</f>
        <v>0.0558947368421052</v>
      </c>
      <c r="H10" s="23" t="n">
        <f aca="false">(1+(Assumptions!$C$6 + $B10/10000))/(1+H$8)-1-Assumptions!$C$6</f>
        <v>0.0285128205128205</v>
      </c>
      <c r="I10" s="23" t="n">
        <f aca="false">(1+(Assumptions!$C$6 + $B10/10000))/(1+I$8)-1-Assumptions!$C$6</f>
        <v>0.00249999999999996</v>
      </c>
      <c r="J10" s="23" t="n">
        <f aca="false">(1+(Assumptions!$C$6 + $B10/10000))/(1+J$8)-1-Assumptions!$C$6</f>
        <v>-0.0222439024390244</v>
      </c>
      <c r="K10" s="23" t="n">
        <f aca="false">(1+(Assumptions!$C$6 + $B10/10000))/(1+K$8)-1-Assumptions!$C$6</f>
        <v>-0.0458095238095238</v>
      </c>
      <c r="L10" s="23" t="n">
        <f aca="false">(1+(Assumptions!$C$6 + $B10/10000))/(1+L$8)-1-Assumptions!$C$6</f>
        <v>-0.0682790697674419</v>
      </c>
      <c r="M10" s="23" t="n">
        <f aca="false">(1+(Assumptions!$C$6 + $B10/10000))/(1+M$8)-1-Assumptions!$C$6</f>
        <v>-0.0897272727272729</v>
      </c>
      <c r="N10" s="23" t="n">
        <f aca="false">(1+(Assumptions!$C$6 + $B10/10000))/(1+N$8)-1-Assumptions!$C$6</f>
        <v>-0.110222222222222</v>
      </c>
      <c r="O10" s="23" t="n">
        <f aca="false">(1+(Assumptions!$C$6 + $B10/10000))/(1+O$8)-1-Assumptions!$C$6</f>
        <v>-0.129826086956522</v>
      </c>
      <c r="P10" s="24" t="n">
        <f aca="false">(1+(Assumptions!$C$6 + $B10/10000))/(1+Assumptions!$C$6)-1</f>
        <v>0.00247035573122534</v>
      </c>
    </row>
    <row r="11" customFormat="false" ht="15" hidden="false" customHeight="false" outlineLevel="0" collapsed="false">
      <c r="B11" s="22" t="n">
        <f aca="false">Assumptions!$C$15 + 2*Assumptions!$C$16</f>
        <v>50</v>
      </c>
      <c r="C11" s="23" t="n">
        <f aca="false">(1+(Assumptions!$C$6 + $B11/10000))/(1+C$8)-1-Assumptions!$C$6</f>
        <v>0.184470588235294</v>
      </c>
      <c r="D11" s="23" t="n">
        <f aca="false">(1+(Assumptions!$C$6 + $B11/10000))/(1+D$8)-1-Assumptions!$C$6</f>
        <v>0.150285714285714</v>
      </c>
      <c r="E11" s="23" t="n">
        <f aca="false">(1+(Assumptions!$C$6 + $B11/10000))/(1+E$8)-1-Assumptions!$C$6</f>
        <v>0.118</v>
      </c>
      <c r="F11" s="23" t="n">
        <f aca="false">(1+(Assumptions!$C$6 + $B11/10000))/(1+F$8)-1-Assumptions!$C$6</f>
        <v>0.0874594594594593</v>
      </c>
      <c r="G11" s="23" t="n">
        <f aca="false">(1+(Assumptions!$C$6 + $B11/10000))/(1+G$8)-1-Assumptions!$C$6</f>
        <v>0.0585263157894736</v>
      </c>
      <c r="H11" s="23" t="n">
        <f aca="false">(1+(Assumptions!$C$6 + $B11/10000))/(1+H$8)-1-Assumptions!$C$6</f>
        <v>0.031076923076923</v>
      </c>
      <c r="I11" s="23" t="n">
        <f aca="false">(1+(Assumptions!$C$6 + $B11/10000))/(1+I$8)-1-Assumptions!$C$6</f>
        <v>0.0049999999999999</v>
      </c>
      <c r="J11" s="23" t="n">
        <f aca="false">(1+(Assumptions!$C$6 + $B11/10000))/(1+J$8)-1-Assumptions!$C$6</f>
        <v>-0.0198048780487805</v>
      </c>
      <c r="K11" s="23" t="n">
        <f aca="false">(1+(Assumptions!$C$6 + $B11/10000))/(1+K$8)-1-Assumptions!$C$6</f>
        <v>-0.0434285714285716</v>
      </c>
      <c r="L11" s="23" t="n">
        <f aca="false">(1+(Assumptions!$C$6 + $B11/10000))/(1+L$8)-1-Assumptions!$C$6</f>
        <v>-0.0659534883720931</v>
      </c>
      <c r="M11" s="23" t="n">
        <f aca="false">(1+(Assumptions!$C$6 + $B11/10000))/(1+M$8)-1-Assumptions!$C$6</f>
        <v>-0.0874545454545457</v>
      </c>
      <c r="N11" s="23" t="n">
        <f aca="false">(1+(Assumptions!$C$6 + $B11/10000))/(1+N$8)-1-Assumptions!$C$6</f>
        <v>-0.108</v>
      </c>
      <c r="O11" s="23" t="n">
        <f aca="false">(1+(Assumptions!$C$6 + $B11/10000))/(1+O$8)-1-Assumptions!$C$6</f>
        <v>-0.127652173913044</v>
      </c>
      <c r="P11" s="24" t="n">
        <f aca="false">(1+(Assumptions!$C$6 + $B11/10000))/(1+Assumptions!$C$6)-1</f>
        <v>0.00494071146245045</v>
      </c>
    </row>
    <row r="12" customFormat="false" ht="15" hidden="false" customHeight="false" outlineLevel="0" collapsed="false">
      <c r="B12" s="22" t="n">
        <f aca="false">Assumptions!$C$15 + 3*Assumptions!$C$16</f>
        <v>75</v>
      </c>
      <c r="C12" s="23" t="n">
        <f aca="false">(1+(Assumptions!$C$6 + $B12/10000))/(1+C$8)-1-Assumptions!$C$6</f>
        <v>0.187411764705882</v>
      </c>
      <c r="D12" s="23" t="n">
        <f aca="false">(1+(Assumptions!$C$6 + $B12/10000))/(1+D$8)-1-Assumptions!$C$6</f>
        <v>0.153142857142857</v>
      </c>
      <c r="E12" s="23" t="n">
        <f aca="false">(1+(Assumptions!$C$6 + $B12/10000))/(1+E$8)-1-Assumptions!$C$6</f>
        <v>0.120777777777778</v>
      </c>
      <c r="F12" s="23" t="n">
        <f aca="false">(1+(Assumptions!$C$6 + $B12/10000))/(1+F$8)-1-Assumptions!$C$6</f>
        <v>0.0901621621621622</v>
      </c>
      <c r="G12" s="23" t="n">
        <f aca="false">(1+(Assumptions!$C$6 + $B12/10000))/(1+G$8)-1-Assumptions!$C$6</f>
        <v>0.0611578947368423</v>
      </c>
      <c r="H12" s="23" t="n">
        <f aca="false">(1+(Assumptions!$C$6 + $B12/10000))/(1+H$8)-1-Assumptions!$C$6</f>
        <v>0.0336410256410258</v>
      </c>
      <c r="I12" s="23" t="n">
        <f aca="false">(1+(Assumptions!$C$6 + $B12/10000))/(1+I$8)-1-Assumptions!$C$6</f>
        <v>0.00750000000000007</v>
      </c>
      <c r="J12" s="23" t="n">
        <f aca="false">(1+(Assumptions!$C$6 + $B12/10000))/(1+J$8)-1-Assumptions!$C$6</f>
        <v>-0.0173658536585365</v>
      </c>
      <c r="K12" s="23" t="n">
        <f aca="false">(1+(Assumptions!$C$6 + $B12/10000))/(1+K$8)-1-Assumptions!$C$6</f>
        <v>-0.041047619047619</v>
      </c>
      <c r="L12" s="23" t="n">
        <f aca="false">(1+(Assumptions!$C$6 + $B12/10000))/(1+L$8)-1-Assumptions!$C$6</f>
        <v>-0.0636279069767441</v>
      </c>
      <c r="M12" s="23" t="n">
        <f aca="false">(1+(Assumptions!$C$6 + $B12/10000))/(1+M$8)-1-Assumptions!$C$6</f>
        <v>-0.0851818181818182</v>
      </c>
      <c r="N12" s="23" t="n">
        <f aca="false">(1+(Assumptions!$C$6 + $B12/10000))/(1+N$8)-1-Assumptions!$C$6</f>
        <v>-0.105777777777778</v>
      </c>
      <c r="O12" s="23" t="n">
        <f aca="false">(1+(Assumptions!$C$6 + $B12/10000))/(1+O$8)-1-Assumptions!$C$6</f>
        <v>-0.125478260869565</v>
      </c>
      <c r="P12" s="24" t="n">
        <f aca="false">(1+(Assumptions!$C$6 + $B12/10000))/(1+Assumptions!$C$6)-1</f>
        <v>0.00741106719367601</v>
      </c>
    </row>
    <row r="13" customFormat="false" ht="15" hidden="false" customHeight="false" outlineLevel="0" collapsed="false">
      <c r="B13" s="22" t="n">
        <f aca="false">Assumptions!$C$15 + 4*Assumptions!$C$16</f>
        <v>100</v>
      </c>
      <c r="C13" s="23" t="n">
        <f aca="false">(1+(Assumptions!$C$6 + $B13/10000))/(1+C$8)-1-Assumptions!$C$6</f>
        <v>0.190352941176471</v>
      </c>
      <c r="D13" s="23" t="n">
        <f aca="false">(1+(Assumptions!$C$6 + $B13/10000))/(1+D$8)-1-Assumptions!$C$6</f>
        <v>0.156</v>
      </c>
      <c r="E13" s="23" t="n">
        <f aca="false">(1+(Assumptions!$C$6 + $B13/10000))/(1+E$8)-1-Assumptions!$C$6</f>
        <v>0.123555555555556</v>
      </c>
      <c r="F13" s="23" t="n">
        <f aca="false">(1+(Assumptions!$C$6 + $B13/10000))/(1+F$8)-1-Assumptions!$C$6</f>
        <v>0.0928648648648649</v>
      </c>
      <c r="G13" s="23" t="n">
        <f aca="false">(1+(Assumptions!$C$6 + $B13/10000))/(1+G$8)-1-Assumptions!$C$6</f>
        <v>0.0637894736842106</v>
      </c>
      <c r="H13" s="23" t="n">
        <f aca="false">(1+(Assumptions!$C$6 + $B13/10000))/(1+H$8)-1-Assumptions!$C$6</f>
        <v>0.0362051282051284</v>
      </c>
      <c r="I13" s="23" t="n">
        <f aca="false">(1+(Assumptions!$C$6 + $B13/10000))/(1+I$8)-1-Assumptions!$C$6</f>
        <v>0.01</v>
      </c>
      <c r="J13" s="23" t="n">
        <f aca="false">(1+(Assumptions!$C$6 + $B13/10000))/(1+J$8)-1-Assumptions!$C$6</f>
        <v>-0.0149268292682926</v>
      </c>
      <c r="K13" s="23" t="n">
        <f aca="false">(1+(Assumptions!$C$6 + $B13/10000))/(1+K$8)-1-Assumptions!$C$6</f>
        <v>-0.0386666666666667</v>
      </c>
      <c r="L13" s="23" t="n">
        <f aca="false">(1+(Assumptions!$C$6 + $B13/10000))/(1+L$8)-1-Assumptions!$C$6</f>
        <v>-0.0613023255813952</v>
      </c>
      <c r="M13" s="23" t="n">
        <f aca="false">(1+(Assumptions!$C$6 + $B13/10000))/(1+M$8)-1-Assumptions!$C$6</f>
        <v>-0.0829090909090909</v>
      </c>
      <c r="N13" s="23" t="n">
        <f aca="false">(1+(Assumptions!$C$6 + $B13/10000))/(1+N$8)-1-Assumptions!$C$6</f>
        <v>-0.103555555555556</v>
      </c>
      <c r="O13" s="23" t="n">
        <f aca="false">(1+(Assumptions!$C$6 + $B13/10000))/(1+O$8)-1-Assumptions!$C$6</f>
        <v>-0.123304347826087</v>
      </c>
      <c r="P13" s="24" t="n">
        <f aca="false">(1+(Assumptions!$C$6 + $B13/10000))/(1+Assumptions!$C$6)-1</f>
        <v>0.00988142292490113</v>
      </c>
    </row>
    <row r="14" customFormat="false" ht="15" hidden="false" customHeight="false" outlineLevel="0" collapsed="false">
      <c r="B14" s="22" t="n">
        <f aca="false">Assumptions!$C$15 + 5*Assumptions!$C$16</f>
        <v>125</v>
      </c>
      <c r="C14" s="23" t="n">
        <f aca="false">(1+(Assumptions!$C$6 + $B14/10000))/(1+C$8)-1-Assumptions!$C$6</f>
        <v>0.193294117647059</v>
      </c>
      <c r="D14" s="23" t="n">
        <f aca="false">(1+(Assumptions!$C$6 + $B14/10000))/(1+D$8)-1-Assumptions!$C$6</f>
        <v>0.158857142857143</v>
      </c>
      <c r="E14" s="23" t="n">
        <f aca="false">(1+(Assumptions!$C$6 + $B14/10000))/(1+E$8)-1-Assumptions!$C$6</f>
        <v>0.126333333333333</v>
      </c>
      <c r="F14" s="23" t="n">
        <f aca="false">(1+(Assumptions!$C$6 + $B14/10000))/(1+F$8)-1-Assumptions!$C$6</f>
        <v>0.0955675675675676</v>
      </c>
      <c r="G14" s="23" t="n">
        <f aca="false">(1+(Assumptions!$C$6 + $B14/10000))/(1+G$8)-1-Assumptions!$C$6</f>
        <v>0.066421052631579</v>
      </c>
      <c r="H14" s="23" t="n">
        <f aca="false">(1+(Assumptions!$C$6 + $B14/10000))/(1+H$8)-1-Assumptions!$C$6</f>
        <v>0.0387692307692307</v>
      </c>
      <c r="I14" s="23" t="n">
        <f aca="false">(1+(Assumptions!$C$6 + $B14/10000))/(1+I$8)-1-Assumptions!$C$6</f>
        <v>0.0125</v>
      </c>
      <c r="J14" s="23" t="n">
        <f aca="false">(1+(Assumptions!$C$6 + $B14/10000))/(1+J$8)-1-Assumptions!$C$6</f>
        <v>-0.0124878048780488</v>
      </c>
      <c r="K14" s="23" t="n">
        <f aca="false">(1+(Assumptions!$C$6 + $B14/10000))/(1+K$8)-1-Assumptions!$C$6</f>
        <v>-0.0362857142857144</v>
      </c>
      <c r="L14" s="23" t="n">
        <f aca="false">(1+(Assumptions!$C$6 + $B14/10000))/(1+L$8)-1-Assumptions!$C$6</f>
        <v>-0.0589767441860465</v>
      </c>
      <c r="M14" s="23" t="n">
        <f aca="false">(1+(Assumptions!$C$6 + $B14/10000))/(1+M$8)-1-Assumptions!$C$6</f>
        <v>-0.0806363636363637</v>
      </c>
      <c r="N14" s="23" t="n">
        <f aca="false">(1+(Assumptions!$C$6 + $B14/10000))/(1+N$8)-1-Assumptions!$C$6</f>
        <v>-0.101333333333333</v>
      </c>
      <c r="O14" s="23" t="n">
        <f aca="false">(1+(Assumptions!$C$6 + $B14/10000))/(1+O$8)-1-Assumptions!$C$6</f>
        <v>-0.121130434782609</v>
      </c>
      <c r="P14" s="24" t="n">
        <f aca="false">(1+(Assumptions!$C$6 + $B14/10000))/(1+Assumptions!$C$6)-1</f>
        <v>0.0123517786561265</v>
      </c>
    </row>
    <row r="15" customFormat="false" ht="15" hidden="false" customHeight="false" outlineLevel="0" collapsed="false">
      <c r="B15" s="22" t="n">
        <f aca="false">Assumptions!$C$15 + 6*Assumptions!$C$16</f>
        <v>150</v>
      </c>
      <c r="C15" s="23" t="n">
        <f aca="false">(1+(Assumptions!$C$6 + $B15/10000))/(1+C$8)-1-Assumptions!$C$6</f>
        <v>0.196235294117647</v>
      </c>
      <c r="D15" s="23" t="n">
        <f aca="false">(1+(Assumptions!$C$6 + $B15/10000))/(1+D$8)-1-Assumptions!$C$6</f>
        <v>0.161714285714286</v>
      </c>
      <c r="E15" s="23" t="n">
        <f aca="false">(1+(Assumptions!$C$6 + $B15/10000))/(1+E$8)-1-Assumptions!$C$6</f>
        <v>0.129111111111111</v>
      </c>
      <c r="F15" s="23" t="n">
        <f aca="false">(1+(Assumptions!$C$6 + $B15/10000))/(1+F$8)-1-Assumptions!$C$6</f>
        <v>0.09827027027027</v>
      </c>
      <c r="G15" s="23" t="n">
        <f aca="false">(1+(Assumptions!$C$6 + $B15/10000))/(1+G$8)-1-Assumptions!$C$6</f>
        <v>0.0690526315789473</v>
      </c>
      <c r="H15" s="23" t="n">
        <f aca="false">(1+(Assumptions!$C$6 + $B15/10000))/(1+H$8)-1-Assumptions!$C$6</f>
        <v>0.0413333333333332</v>
      </c>
      <c r="I15" s="23" t="n">
        <f aca="false">(1+(Assumptions!$C$6 + $B15/10000))/(1+I$8)-1-Assumptions!$C$6</f>
        <v>0.0149999999999999</v>
      </c>
      <c r="J15" s="23" t="n">
        <f aca="false">(1+(Assumptions!$C$6 + $B15/10000))/(1+J$8)-1-Assumptions!$C$6</f>
        <v>-0.0100487804878049</v>
      </c>
      <c r="K15" s="23" t="n">
        <f aca="false">(1+(Assumptions!$C$6 + $B15/10000))/(1+K$8)-1-Assumptions!$C$6</f>
        <v>-0.033904761904762</v>
      </c>
      <c r="L15" s="23" t="n">
        <f aca="false">(1+(Assumptions!$C$6 + $B15/10000))/(1+L$8)-1-Assumptions!$C$6</f>
        <v>-0.0566511627906977</v>
      </c>
      <c r="M15" s="23" t="n">
        <f aca="false">(1+(Assumptions!$C$6 + $B15/10000))/(1+M$8)-1-Assumptions!$C$6</f>
        <v>-0.0783636363636365</v>
      </c>
      <c r="N15" s="23" t="n">
        <f aca="false">(1+(Assumptions!$C$6 + $B15/10000))/(1+N$8)-1-Assumptions!$C$6</f>
        <v>-0.0991111111111111</v>
      </c>
      <c r="O15" s="23" t="n">
        <f aca="false">(1+(Assumptions!$C$6 + $B15/10000))/(1+O$8)-1-Assumptions!$C$6</f>
        <v>-0.118956521739131</v>
      </c>
      <c r="P15" s="24" t="n">
        <f aca="false">(1+(Assumptions!$C$6 + $B15/10000))/(1+Assumptions!$C$6)-1</f>
        <v>0.0148221343873516</v>
      </c>
    </row>
    <row r="16" customFormat="false" ht="15" hidden="false" customHeight="false" outlineLevel="0" collapsed="false">
      <c r="B16" s="22" t="n">
        <f aca="false">Assumptions!$C$15 + 7*Assumptions!$C$16</f>
        <v>175</v>
      </c>
      <c r="C16" s="23" t="n">
        <f aca="false">(1+(Assumptions!$C$6 + $B16/10000))/(1+C$8)-1-Assumptions!$C$6</f>
        <v>0.199176470588236</v>
      </c>
      <c r="D16" s="23" t="n">
        <f aca="false">(1+(Assumptions!$C$6 + $B16/10000))/(1+D$8)-1-Assumptions!$C$6</f>
        <v>0.164571428571429</v>
      </c>
      <c r="E16" s="23" t="n">
        <f aca="false">(1+(Assumptions!$C$6 + $B16/10000))/(1+E$8)-1-Assumptions!$C$6</f>
        <v>0.131888888888889</v>
      </c>
      <c r="F16" s="23" t="n">
        <f aca="false">(1+(Assumptions!$C$6 + $B16/10000))/(1+F$8)-1-Assumptions!$C$6</f>
        <v>0.100972972972973</v>
      </c>
      <c r="G16" s="23" t="n">
        <f aca="false">(1+(Assumptions!$C$6 + $B16/10000))/(1+G$8)-1-Assumptions!$C$6</f>
        <v>0.071684210526316</v>
      </c>
      <c r="H16" s="23" t="n">
        <f aca="false">(1+(Assumptions!$C$6 + $B16/10000))/(1+H$8)-1-Assumptions!$C$6</f>
        <v>0.043897435897436</v>
      </c>
      <c r="I16" s="23" t="n">
        <f aca="false">(1+(Assumptions!$C$6 + $B16/10000))/(1+I$8)-1-Assumptions!$C$6</f>
        <v>0.0175000000000001</v>
      </c>
      <c r="J16" s="23" t="n">
        <f aca="false">(1+(Assumptions!$C$6 + $B16/10000))/(1+J$8)-1-Assumptions!$C$6</f>
        <v>-0.00760975609756075</v>
      </c>
      <c r="K16" s="23" t="n">
        <f aca="false">(1+(Assumptions!$C$6 + $B16/10000))/(1+K$8)-1-Assumptions!$C$6</f>
        <v>-0.0315238095238095</v>
      </c>
      <c r="L16" s="23" t="n">
        <f aca="false">(1+(Assumptions!$C$6 + $B16/10000))/(1+L$8)-1-Assumptions!$C$6</f>
        <v>-0.0543255813953487</v>
      </c>
      <c r="M16" s="23" t="n">
        <f aca="false">(1+(Assumptions!$C$6 + $B16/10000))/(1+M$8)-1-Assumptions!$C$6</f>
        <v>-0.0760909090909091</v>
      </c>
      <c r="N16" s="23" t="n">
        <f aca="false">(1+(Assumptions!$C$6 + $B16/10000))/(1+N$8)-1-Assumptions!$C$6</f>
        <v>-0.0968888888888888</v>
      </c>
      <c r="O16" s="23" t="n">
        <f aca="false">(1+(Assumptions!$C$6 + $B16/10000))/(1+O$8)-1-Assumptions!$C$6</f>
        <v>-0.116782608695652</v>
      </c>
      <c r="P16" s="24" t="n">
        <f aca="false">(1+(Assumptions!$C$6 + $B16/10000))/(1+Assumptions!$C$6)-1</f>
        <v>0.0172924901185771</v>
      </c>
    </row>
    <row r="17" customFormat="false" ht="15" hidden="false" customHeight="false" outlineLevel="0" collapsed="false">
      <c r="B17" s="22" t="n">
        <f aca="false">Assumptions!$C$15 + 8*Assumptions!$C$16</f>
        <v>200</v>
      </c>
      <c r="C17" s="23" t="n">
        <f aca="false">(1+(Assumptions!$C$6 + $B17/10000))/(1+C$8)-1-Assumptions!$C$6</f>
        <v>0.202117647058824</v>
      </c>
      <c r="D17" s="23" t="n">
        <f aca="false">(1+(Assumptions!$C$6 + $B17/10000))/(1+D$8)-1-Assumptions!$C$6</f>
        <v>0.167428571428571</v>
      </c>
      <c r="E17" s="23" t="n">
        <f aca="false">(1+(Assumptions!$C$6 + $B17/10000))/(1+E$8)-1-Assumptions!$C$6</f>
        <v>0.134666666666667</v>
      </c>
      <c r="F17" s="23" t="n">
        <f aca="false">(1+(Assumptions!$C$6 + $B17/10000))/(1+F$8)-1-Assumptions!$C$6</f>
        <v>0.103675675675676</v>
      </c>
      <c r="G17" s="23" t="n">
        <f aca="false">(1+(Assumptions!$C$6 + $B17/10000))/(1+G$8)-1-Assumptions!$C$6</f>
        <v>0.0743157894736844</v>
      </c>
      <c r="H17" s="23" t="n">
        <f aca="false">(1+(Assumptions!$C$6 + $B17/10000))/(1+H$8)-1-Assumptions!$C$6</f>
        <v>0.0464615384615386</v>
      </c>
      <c r="I17" s="23" t="n">
        <f aca="false">(1+(Assumptions!$C$6 + $B17/10000))/(1+I$8)-1-Assumptions!$C$6</f>
        <v>0.02</v>
      </c>
      <c r="J17" s="23" t="n">
        <f aca="false">(1+(Assumptions!$C$6 + $B17/10000))/(1+J$8)-1-Assumptions!$C$6</f>
        <v>-0.00517073170731707</v>
      </c>
      <c r="K17" s="23" t="n">
        <f aca="false">(1+(Assumptions!$C$6 + $B17/10000))/(1+K$8)-1-Assumptions!$C$6</f>
        <v>-0.0291428571428571</v>
      </c>
      <c r="L17" s="23" t="n">
        <f aca="false">(1+(Assumptions!$C$6 + $B17/10000))/(1+L$8)-1-Assumptions!$C$6</f>
        <v>-0.0519999999999999</v>
      </c>
      <c r="M17" s="23" t="n">
        <f aca="false">(1+(Assumptions!$C$6 + $B17/10000))/(1+M$8)-1-Assumptions!$C$6</f>
        <v>-0.0738181818181819</v>
      </c>
      <c r="N17" s="23" t="n">
        <f aca="false">(1+(Assumptions!$C$6 + $B17/10000))/(1+N$8)-1-Assumptions!$C$6</f>
        <v>-0.0946666666666667</v>
      </c>
      <c r="O17" s="23" t="n">
        <f aca="false">(1+(Assumptions!$C$6 + $B17/10000))/(1+O$8)-1-Assumptions!$C$6</f>
        <v>-0.114608695652174</v>
      </c>
      <c r="P17" s="24" t="n">
        <f aca="false">(1+(Assumptions!$C$6 + $B17/10000))/(1+Assumptions!$C$6)-1</f>
        <v>0.0197628458498025</v>
      </c>
    </row>
    <row r="18" customFormat="false" ht="15" hidden="false" customHeight="false" outlineLevel="0" collapsed="false">
      <c r="B18" s="22" t="n">
        <f aca="false">Assumptions!$C$15 + 9*Assumptions!$C$16</f>
        <v>225</v>
      </c>
      <c r="C18" s="23" t="n">
        <f aca="false">(1+(Assumptions!$C$6 + $B18/10000))/(1+C$8)-1-Assumptions!$C$6</f>
        <v>0.205058823529412</v>
      </c>
      <c r="D18" s="23" t="n">
        <f aca="false">(1+(Assumptions!$C$6 + $B18/10000))/(1+D$8)-1-Assumptions!$C$6</f>
        <v>0.170285714285714</v>
      </c>
      <c r="E18" s="23" t="n">
        <f aca="false">(1+(Assumptions!$C$6 + $B18/10000))/(1+E$8)-1-Assumptions!$C$6</f>
        <v>0.137444444444444</v>
      </c>
      <c r="F18" s="23" t="n">
        <f aca="false">(1+(Assumptions!$C$6 + $B18/10000))/(1+F$8)-1-Assumptions!$C$6</f>
        <v>0.106378378378378</v>
      </c>
      <c r="G18" s="23" t="n">
        <f aca="false">(1+(Assumptions!$C$6 + $B18/10000))/(1+G$8)-1-Assumptions!$C$6</f>
        <v>0.0769473684210527</v>
      </c>
      <c r="H18" s="23" t="n">
        <f aca="false">(1+(Assumptions!$C$6 + $B18/10000))/(1+H$8)-1-Assumptions!$C$6</f>
        <v>0.0490256410256411</v>
      </c>
      <c r="I18" s="23" t="n">
        <f aca="false">(1+(Assumptions!$C$6 + $B18/10000))/(1+I$8)-1-Assumptions!$C$6</f>
        <v>0.0225</v>
      </c>
      <c r="J18" s="23" t="n">
        <f aca="false">(1+(Assumptions!$C$6 + $B18/10000))/(1+J$8)-1-Assumptions!$C$6</f>
        <v>-0.00273170731707316</v>
      </c>
      <c r="K18" s="23" t="n">
        <f aca="false">(1+(Assumptions!$C$6 + $B18/10000))/(1+K$8)-1-Assumptions!$C$6</f>
        <v>-0.0267619047619049</v>
      </c>
      <c r="L18" s="23" t="n">
        <f aca="false">(1+(Assumptions!$C$6 + $B18/10000))/(1+L$8)-1-Assumptions!$C$6</f>
        <v>-0.0496744186046512</v>
      </c>
      <c r="M18" s="23" t="n">
        <f aca="false">(1+(Assumptions!$C$6 + $B18/10000))/(1+M$8)-1-Assumptions!$C$6</f>
        <v>-0.0715454545454547</v>
      </c>
      <c r="N18" s="23" t="n">
        <f aca="false">(1+(Assumptions!$C$6 + $B18/10000))/(1+N$8)-1-Assumptions!$C$6</f>
        <v>-0.0924444444444444</v>
      </c>
      <c r="O18" s="23" t="n">
        <f aca="false">(1+(Assumptions!$C$6 + $B18/10000))/(1+O$8)-1-Assumptions!$C$6</f>
        <v>-0.112434782608696</v>
      </c>
      <c r="P18" s="24" t="n">
        <f aca="false">(1+(Assumptions!$C$6 + $B18/10000))/(1+Assumptions!$C$6)-1</f>
        <v>0.0222332015810276</v>
      </c>
    </row>
    <row r="19" customFormat="false" ht="15" hidden="false" customHeight="false" outlineLevel="0" collapsed="false">
      <c r="B19" s="22" t="n">
        <f aca="false">Assumptions!$C$15 + 10*Assumptions!$C$16</f>
        <v>250</v>
      </c>
      <c r="C19" s="23" t="n">
        <f aca="false">(1+(Assumptions!$C$6 + $B19/10000))/(1+C$8)-1-Assumptions!$C$6</f>
        <v>0.208</v>
      </c>
      <c r="D19" s="23" t="n">
        <f aca="false">(1+(Assumptions!$C$6 + $B19/10000))/(1+D$8)-1-Assumptions!$C$6</f>
        <v>0.173142857142857</v>
      </c>
      <c r="E19" s="23" t="n">
        <f aca="false">(1+(Assumptions!$C$6 + $B19/10000))/(1+E$8)-1-Assumptions!$C$6</f>
        <v>0.140222222222222</v>
      </c>
      <c r="F19" s="23" t="n">
        <f aca="false">(1+(Assumptions!$C$6 + $B19/10000))/(1+F$8)-1-Assumptions!$C$6</f>
        <v>0.109081081081081</v>
      </c>
      <c r="G19" s="23" t="n">
        <f aca="false">(1+(Assumptions!$C$6 + $B19/10000))/(1+G$8)-1-Assumptions!$C$6</f>
        <v>0.079578947368421</v>
      </c>
      <c r="H19" s="23" t="n">
        <f aca="false">(1+(Assumptions!$C$6 + $B19/10000))/(1+H$8)-1-Assumptions!$C$6</f>
        <v>0.0515897435897435</v>
      </c>
      <c r="I19" s="23" t="n">
        <f aca="false">(1+(Assumptions!$C$6 + $B19/10000))/(1+I$8)-1-Assumptions!$C$6</f>
        <v>0.0249999999999999</v>
      </c>
      <c r="J19" s="23" t="n">
        <f aca="false">(1+(Assumptions!$C$6 + $B19/10000))/(1+J$8)-1-Assumptions!$C$6</f>
        <v>-0.000292682926829258</v>
      </c>
      <c r="K19" s="23" t="n">
        <f aca="false">(1+(Assumptions!$C$6 + $B19/10000))/(1+K$8)-1-Assumptions!$C$6</f>
        <v>-0.0243809523809525</v>
      </c>
      <c r="L19" s="23" t="n">
        <f aca="false">(1+(Assumptions!$C$6 + $B19/10000))/(1+L$8)-1-Assumptions!$C$6</f>
        <v>-0.0473488372093024</v>
      </c>
      <c r="M19" s="23" t="n">
        <f aca="false">(1+(Assumptions!$C$6 + $B19/10000))/(1+M$8)-1-Assumptions!$C$6</f>
        <v>-0.0692727272727275</v>
      </c>
      <c r="N19" s="23" t="n">
        <f aca="false">(1+(Assumptions!$C$6 + $B19/10000))/(1+N$8)-1-Assumptions!$C$6</f>
        <v>-0.0902222222222223</v>
      </c>
      <c r="O19" s="23" t="n">
        <f aca="false">(1+(Assumptions!$C$6 + $B19/10000))/(1+O$8)-1-Assumptions!$C$6</f>
        <v>-0.110260869565218</v>
      </c>
      <c r="P19" s="24" t="n">
        <f aca="false">(1+(Assumptions!$C$6 + $B19/10000))/(1+Assumptions!$C$6)-1</f>
        <v>0.0247035573122529</v>
      </c>
    </row>
    <row r="20" customFormat="false" ht="15" hidden="false" customHeight="false" outlineLevel="0" collapsed="false">
      <c r="B20" s="22" t="n">
        <f aca="false">Assumptions!$C$15 + 11*Assumptions!$C$16</f>
        <v>275</v>
      </c>
      <c r="C20" s="23" t="n">
        <f aca="false">(1+(Assumptions!$C$6 + $B20/10000))/(1+C$8)-1-Assumptions!$C$6</f>
        <v>0.210941176470588</v>
      </c>
      <c r="D20" s="23" t="n">
        <f aca="false">(1+(Assumptions!$C$6 + $B20/10000))/(1+D$8)-1-Assumptions!$C$6</f>
        <v>0.176</v>
      </c>
      <c r="E20" s="23" t="n">
        <f aca="false">(1+(Assumptions!$C$6 + $B20/10000))/(1+E$8)-1-Assumptions!$C$6</f>
        <v>0.143</v>
      </c>
      <c r="F20" s="23" t="n">
        <f aca="false">(1+(Assumptions!$C$6 + $B20/10000))/(1+F$8)-1-Assumptions!$C$6</f>
        <v>0.111783783783784</v>
      </c>
      <c r="G20" s="23" t="n">
        <f aca="false">(1+(Assumptions!$C$6 + $B20/10000))/(1+G$8)-1-Assumptions!$C$6</f>
        <v>0.0822105263157895</v>
      </c>
      <c r="H20" s="23" t="n">
        <f aca="false">(1+(Assumptions!$C$6 + $B20/10000))/(1+H$8)-1-Assumptions!$C$6</f>
        <v>0.0541538461538462</v>
      </c>
      <c r="I20" s="23" t="n">
        <f aca="false">(1+(Assumptions!$C$6 + $B20/10000))/(1+I$8)-1-Assumptions!$C$6</f>
        <v>0.0275000000000001</v>
      </c>
      <c r="J20" s="23" t="n">
        <f aca="false">(1+(Assumptions!$C$6 + $B20/10000))/(1+J$8)-1-Assumptions!$C$6</f>
        <v>0.00214634146341487</v>
      </c>
      <c r="K20" s="23" t="n">
        <f aca="false">(1+(Assumptions!$C$6 + $B20/10000))/(1+K$8)-1-Assumptions!$C$6</f>
        <v>-0.022</v>
      </c>
      <c r="L20" s="23" t="n">
        <f aca="false">(1+(Assumptions!$C$6 + $B20/10000))/(1+L$8)-1-Assumptions!$C$6</f>
        <v>-0.0450232558139534</v>
      </c>
      <c r="M20" s="23" t="n">
        <f aca="false">(1+(Assumptions!$C$6 + $B20/10000))/(1+M$8)-1-Assumptions!$C$6</f>
        <v>-0.0670000000000001</v>
      </c>
      <c r="N20" s="23" t="n">
        <f aca="false">(1+(Assumptions!$C$6 + $B20/10000))/(1+N$8)-1-Assumptions!$C$6</f>
        <v>-0.088</v>
      </c>
      <c r="O20" s="23" t="n">
        <f aca="false">(1+(Assumptions!$C$6 + $B20/10000))/(1+O$8)-1-Assumptions!$C$6</f>
        <v>-0.108086956521739</v>
      </c>
      <c r="P20" s="24" t="n">
        <f aca="false">(1+(Assumptions!$C$6 + $B20/10000))/(1+Assumptions!$C$6)-1</f>
        <v>0.0271739130434783</v>
      </c>
    </row>
    <row r="21" customFormat="false" ht="15" hidden="false" customHeight="false" outlineLevel="0" collapsed="false">
      <c r="B21" s="22" t="n">
        <f aca="false">Assumptions!$C$15 + 12*Assumptions!$C$16</f>
        <v>300</v>
      </c>
      <c r="C21" s="23" t="n">
        <f aca="false">(1+(Assumptions!$C$6 + $B21/10000))/(1+C$8)-1-Assumptions!$C$6</f>
        <v>0.213882352941177</v>
      </c>
      <c r="D21" s="23" t="n">
        <f aca="false">(1+(Assumptions!$C$6 + $B21/10000))/(1+D$8)-1-Assumptions!$C$6</f>
        <v>0.178857142857143</v>
      </c>
      <c r="E21" s="23" t="n">
        <f aca="false">(1+(Assumptions!$C$6 + $B21/10000))/(1+E$8)-1-Assumptions!$C$6</f>
        <v>0.145777777777778</v>
      </c>
      <c r="F21" s="23" t="n">
        <f aca="false">(1+(Assumptions!$C$6 + $B21/10000))/(1+F$8)-1-Assumptions!$C$6</f>
        <v>0.114486486486487</v>
      </c>
      <c r="G21" s="23" t="n">
        <f aca="false">(1+(Assumptions!$C$6 + $B21/10000))/(1+G$8)-1-Assumptions!$C$6</f>
        <v>0.0848421052631581</v>
      </c>
      <c r="H21" s="23" t="n">
        <f aca="false">(1+(Assumptions!$C$6 + $B21/10000))/(1+H$8)-1-Assumptions!$C$6</f>
        <v>0.0567179487179488</v>
      </c>
      <c r="I21" s="23" t="n">
        <f aca="false">(1+(Assumptions!$C$6 + $B21/10000))/(1+I$8)-1-Assumptions!$C$6</f>
        <v>0.03</v>
      </c>
      <c r="J21" s="23" t="n">
        <f aca="false">(1+(Assumptions!$C$6 + $B21/10000))/(1+J$8)-1-Assumptions!$C$6</f>
        <v>0.00458536585365855</v>
      </c>
      <c r="K21" s="23" t="n">
        <f aca="false">(1+(Assumptions!$C$6 + $B21/10000))/(1+K$8)-1-Assumptions!$C$6</f>
        <v>-0.0196190476190476</v>
      </c>
      <c r="L21" s="23" t="n">
        <f aca="false">(1+(Assumptions!$C$6 + $B21/10000))/(1+L$8)-1-Assumptions!$C$6</f>
        <v>-0.0426976744186046</v>
      </c>
      <c r="M21" s="23" t="n">
        <f aca="false">(1+(Assumptions!$C$6 + $B21/10000))/(1+M$8)-1-Assumptions!$C$6</f>
        <v>-0.0647272727272727</v>
      </c>
      <c r="N21" s="23" t="n">
        <f aca="false">(1+(Assumptions!$C$6 + $B21/10000))/(1+N$8)-1-Assumptions!$C$6</f>
        <v>-0.0857777777777777</v>
      </c>
      <c r="O21" s="23" t="n">
        <f aca="false">(1+(Assumptions!$C$6 + $B21/10000))/(1+O$8)-1-Assumptions!$C$6</f>
        <v>-0.105913043478261</v>
      </c>
      <c r="P21" s="24" t="n">
        <f aca="false">(1+(Assumptions!$C$6 + $B21/10000))/(1+Assumptions!$C$6)-1</f>
        <v>0.0296442687747036</v>
      </c>
    </row>
    <row r="22" customFormat="false" ht="15" hidden="false" customHeight="false" outlineLevel="0" collapsed="false">
      <c r="B22" s="22" t="n">
        <f aca="false">Assumptions!$C$15 + 13*Assumptions!$C$16</f>
        <v>325</v>
      </c>
      <c r="C22" s="23" t="n">
        <f aca="false">(1+(Assumptions!$C$6 + $B22/10000))/(1+C$8)-1-Assumptions!$C$6</f>
        <v>0.216823529411765</v>
      </c>
      <c r="D22" s="23" t="n">
        <f aca="false">(1+(Assumptions!$C$6 + $B22/10000))/(1+D$8)-1-Assumptions!$C$6</f>
        <v>0.181714285714286</v>
      </c>
      <c r="E22" s="23" t="n">
        <f aca="false">(1+(Assumptions!$C$6 + $B22/10000))/(1+E$8)-1-Assumptions!$C$6</f>
        <v>0.148555555555556</v>
      </c>
      <c r="F22" s="23" t="n">
        <f aca="false">(1+(Assumptions!$C$6 + $B22/10000))/(1+F$8)-1-Assumptions!$C$6</f>
        <v>0.117189189189189</v>
      </c>
      <c r="G22" s="23" t="n">
        <f aca="false">(1+(Assumptions!$C$6 + $B22/10000))/(1+G$8)-1-Assumptions!$C$6</f>
        <v>0.0874736842105264</v>
      </c>
      <c r="H22" s="23" t="n">
        <f aca="false">(1+(Assumptions!$C$6 + $B22/10000))/(1+H$8)-1-Assumptions!$C$6</f>
        <v>0.0592820512820513</v>
      </c>
      <c r="I22" s="23" t="n">
        <f aca="false">(1+(Assumptions!$C$6 + $B22/10000))/(1+I$8)-1-Assumptions!$C$6</f>
        <v>0.0325</v>
      </c>
      <c r="J22" s="23" t="n">
        <f aca="false">(1+(Assumptions!$C$6 + $B22/10000))/(1+J$8)-1-Assumptions!$C$6</f>
        <v>0.00702439024390246</v>
      </c>
      <c r="K22" s="23" t="n">
        <f aca="false">(1+(Assumptions!$C$6 + $B22/10000))/(1+K$8)-1-Assumptions!$C$6</f>
        <v>-0.0172380952380953</v>
      </c>
      <c r="L22" s="23" t="n">
        <f aca="false">(1+(Assumptions!$C$6 + $B22/10000))/(1+L$8)-1-Assumptions!$C$6</f>
        <v>-0.0403720930232558</v>
      </c>
      <c r="M22" s="23" t="n">
        <f aca="false">(1+(Assumptions!$C$6 + $B22/10000))/(1+M$8)-1-Assumptions!$C$6</f>
        <v>-0.0624545454545455</v>
      </c>
      <c r="N22" s="23" t="n">
        <f aca="false">(1+(Assumptions!$C$6 + $B22/10000))/(1+N$8)-1-Assumptions!$C$6</f>
        <v>-0.0835555555555556</v>
      </c>
      <c r="O22" s="23" t="n">
        <f aca="false">(1+(Assumptions!$C$6 + $B22/10000))/(1+O$8)-1-Assumptions!$C$6</f>
        <v>-0.103739130434783</v>
      </c>
      <c r="P22" s="24" t="n">
        <f aca="false">(1+(Assumptions!$C$6 + $B22/10000))/(1+Assumptions!$C$6)-1</f>
        <v>0.0321146245059287</v>
      </c>
    </row>
    <row r="23" customFormat="false" ht="15" hidden="false" customHeight="false" outlineLevel="0" collapsed="false">
      <c r="B23" s="22" t="n">
        <f aca="false">Assumptions!$C$15 + 14*Assumptions!$C$16</f>
        <v>350</v>
      </c>
      <c r="C23" s="23" t="n">
        <f aca="false">(1+(Assumptions!$C$6 + $B23/10000))/(1+C$8)-1-Assumptions!$C$6</f>
        <v>0.219764705882353</v>
      </c>
      <c r="D23" s="23" t="n">
        <f aca="false">(1+(Assumptions!$C$6 + $B23/10000))/(1+D$8)-1-Assumptions!$C$6</f>
        <v>0.184571428571428</v>
      </c>
      <c r="E23" s="23" t="n">
        <f aca="false">(1+(Assumptions!$C$6 + $B23/10000))/(1+E$8)-1-Assumptions!$C$6</f>
        <v>0.151333333333333</v>
      </c>
      <c r="F23" s="23" t="n">
        <f aca="false">(1+(Assumptions!$C$6 + $B23/10000))/(1+F$8)-1-Assumptions!$C$6</f>
        <v>0.119891891891892</v>
      </c>
      <c r="G23" s="23" t="n">
        <f aca="false">(1+(Assumptions!$C$6 + $B23/10000))/(1+G$8)-1-Assumptions!$C$6</f>
        <v>0.0901052631578947</v>
      </c>
      <c r="H23" s="23" t="n">
        <f aca="false">(1+(Assumptions!$C$6 + $B23/10000))/(1+H$8)-1-Assumptions!$C$6</f>
        <v>0.0618461538461539</v>
      </c>
      <c r="I23" s="23" t="n">
        <f aca="false">(1+(Assumptions!$C$6 + $B23/10000))/(1+I$8)-1-Assumptions!$C$6</f>
        <v>0.0349999999999999</v>
      </c>
      <c r="J23" s="23" t="n">
        <f aca="false">(1+(Assumptions!$C$6 + $B23/10000))/(1+J$8)-1-Assumptions!$C$6</f>
        <v>0.00946341463414636</v>
      </c>
      <c r="K23" s="23" t="n">
        <f aca="false">(1+(Assumptions!$C$6 + $B23/10000))/(1+K$8)-1-Assumptions!$C$6</f>
        <v>-0.014857142857143</v>
      </c>
      <c r="L23" s="23" t="n">
        <f aca="false">(1+(Assumptions!$C$6 + $B23/10000))/(1+L$8)-1-Assumptions!$C$6</f>
        <v>-0.0380465116279071</v>
      </c>
      <c r="M23" s="23" t="n">
        <f aca="false">(1+(Assumptions!$C$6 + $B23/10000))/(1+M$8)-1-Assumptions!$C$6</f>
        <v>-0.0601818181818183</v>
      </c>
      <c r="N23" s="23" t="n">
        <f aca="false">(1+(Assumptions!$C$6 + $B23/10000))/(1+N$8)-1-Assumptions!$C$6</f>
        <v>-0.0813333333333334</v>
      </c>
      <c r="O23" s="23" t="n">
        <f aca="false">(1+(Assumptions!$C$6 + $B23/10000))/(1+O$8)-1-Assumptions!$C$6</f>
        <v>-0.101565217391305</v>
      </c>
      <c r="P23" s="24" t="n">
        <f aca="false">(1+(Assumptions!$C$6 + $B23/10000))/(1+Assumptions!$C$6)-1</f>
        <v>0.0345849802371541</v>
      </c>
    </row>
    <row r="24" customFormat="false" ht="15" hidden="false" customHeight="false" outlineLevel="0" collapsed="false">
      <c r="B24" s="22" t="n">
        <f aca="false">Assumptions!$C$15 + 15*Assumptions!$C$16</f>
        <v>375</v>
      </c>
      <c r="C24" s="23" t="n">
        <f aca="false">(1+(Assumptions!$C$6 + $B24/10000))/(1+C$8)-1-Assumptions!$C$6</f>
        <v>0.222705882352941</v>
      </c>
      <c r="D24" s="23" t="n">
        <f aca="false">(1+(Assumptions!$C$6 + $B24/10000))/(1+D$8)-1-Assumptions!$C$6</f>
        <v>0.187428571428572</v>
      </c>
      <c r="E24" s="23" t="n">
        <f aca="false">(1+(Assumptions!$C$6 + $B24/10000))/(1+E$8)-1-Assumptions!$C$6</f>
        <v>0.154111111111111</v>
      </c>
      <c r="F24" s="23" t="n">
        <f aca="false">(1+(Assumptions!$C$6 + $B24/10000))/(1+F$8)-1-Assumptions!$C$6</f>
        <v>0.122594594594595</v>
      </c>
      <c r="G24" s="23" t="n">
        <f aca="false">(1+(Assumptions!$C$6 + $B24/10000))/(1+G$8)-1-Assumptions!$C$6</f>
        <v>0.0927368421052632</v>
      </c>
      <c r="H24" s="23" t="n">
        <f aca="false">(1+(Assumptions!$C$6 + $B24/10000))/(1+H$8)-1-Assumptions!$C$6</f>
        <v>0.0644102564102565</v>
      </c>
      <c r="I24" s="23" t="n">
        <f aca="false">(1+(Assumptions!$C$6 + $B24/10000))/(1+I$8)-1-Assumptions!$C$6</f>
        <v>0.0375000000000001</v>
      </c>
      <c r="J24" s="23" t="n">
        <f aca="false">(1+(Assumptions!$C$6 + $B24/10000))/(1+J$8)-1-Assumptions!$C$6</f>
        <v>0.0119024390243905</v>
      </c>
      <c r="K24" s="23" t="n">
        <f aca="false">(1+(Assumptions!$C$6 + $B24/10000))/(1+K$8)-1-Assumptions!$C$6</f>
        <v>-0.0124761904761904</v>
      </c>
      <c r="L24" s="23" t="n">
        <f aca="false">(1+(Assumptions!$C$6 + $B24/10000))/(1+L$8)-1-Assumptions!$C$6</f>
        <v>-0.0357209302325581</v>
      </c>
      <c r="M24" s="23" t="n">
        <f aca="false">(1+(Assumptions!$C$6 + $B24/10000))/(1+M$8)-1-Assumptions!$C$6</f>
        <v>-0.0579090909090909</v>
      </c>
      <c r="N24" s="23" t="n">
        <f aca="false">(1+(Assumptions!$C$6 + $B24/10000))/(1+N$8)-1-Assumptions!$C$6</f>
        <v>-0.079111111111111</v>
      </c>
      <c r="O24" s="23" t="n">
        <f aca="false">(1+(Assumptions!$C$6 + $B24/10000))/(1+O$8)-1-Assumptions!$C$6</f>
        <v>-0.0993913043478262</v>
      </c>
      <c r="P24" s="24" t="n">
        <f aca="false">(1+(Assumptions!$C$6 + $B24/10000))/(1+Assumptions!$C$6)-1</f>
        <v>0.0370553359683796</v>
      </c>
    </row>
    <row r="25" customFormat="false" ht="15" hidden="false" customHeight="false" outlineLevel="0" collapsed="false">
      <c r="B25" s="22" t="n">
        <f aca="false">Assumptions!$C$15 + 16*Assumptions!$C$16</f>
        <v>400</v>
      </c>
      <c r="C25" s="23" t="n">
        <f aca="false">(1+(Assumptions!$C$6 + $B25/10000))/(1+C$8)-1-Assumptions!$C$6</f>
        <v>0.22564705882353</v>
      </c>
      <c r="D25" s="23" t="n">
        <f aca="false">(1+(Assumptions!$C$6 + $B25/10000))/(1+D$8)-1-Assumptions!$C$6</f>
        <v>0.190285714285714</v>
      </c>
      <c r="E25" s="23" t="n">
        <f aca="false">(1+(Assumptions!$C$6 + $B25/10000))/(1+E$8)-1-Assumptions!$C$6</f>
        <v>0.156888888888889</v>
      </c>
      <c r="F25" s="23" t="n">
        <f aca="false">(1+(Assumptions!$C$6 + $B25/10000))/(1+F$8)-1-Assumptions!$C$6</f>
        <v>0.125297297297297</v>
      </c>
      <c r="G25" s="23" t="n">
        <f aca="false">(1+(Assumptions!$C$6 + $B25/10000))/(1+G$8)-1-Assumptions!$C$6</f>
        <v>0.0953684210526318</v>
      </c>
      <c r="H25" s="23" t="n">
        <f aca="false">(1+(Assumptions!$C$6 + $B25/10000))/(1+H$8)-1-Assumptions!$C$6</f>
        <v>0.066974358974359</v>
      </c>
      <c r="I25" s="23" t="n">
        <f aca="false">(1+(Assumptions!$C$6 + $B25/10000))/(1+I$8)-1-Assumptions!$C$6</f>
        <v>0.0400000000000001</v>
      </c>
      <c r="J25" s="23" t="n">
        <f aca="false">(1+(Assumptions!$C$6 + $B25/10000))/(1+J$8)-1-Assumptions!$C$6</f>
        <v>0.0143414634146342</v>
      </c>
      <c r="K25" s="23" t="n">
        <f aca="false">(1+(Assumptions!$C$6 + $B25/10000))/(1+K$8)-1-Assumptions!$C$6</f>
        <v>-0.0100952380952381</v>
      </c>
      <c r="L25" s="23" t="n">
        <f aca="false">(1+(Assumptions!$C$6 + $B25/10000))/(1+L$8)-1-Assumptions!$C$6</f>
        <v>-0.0333953488372092</v>
      </c>
      <c r="M25" s="23" t="n">
        <f aca="false">(1+(Assumptions!$C$6 + $B25/10000))/(1+M$8)-1-Assumptions!$C$6</f>
        <v>-0.0556363636363637</v>
      </c>
      <c r="N25" s="23" t="n">
        <f aca="false">(1+(Assumptions!$C$6 + $B25/10000))/(1+N$8)-1-Assumptions!$C$6</f>
        <v>-0.0768888888888889</v>
      </c>
      <c r="O25" s="23" t="n">
        <f aca="false">(1+(Assumptions!$C$6 + $B25/10000))/(1+O$8)-1-Assumptions!$C$6</f>
        <v>-0.0972173913043479</v>
      </c>
      <c r="P25" s="24" t="n">
        <f aca="false">(1+(Assumptions!$C$6 + $B25/10000))/(1+Assumptions!$C$6)-1</f>
        <v>0.0395256916996047</v>
      </c>
    </row>
    <row r="26" customFormat="false" ht="15" hidden="false" customHeight="false" outlineLevel="0" collapsed="false">
      <c r="B26" s="22" t="n">
        <f aca="false">Assumptions!$C$15 + 17*Assumptions!$C$16</f>
        <v>425</v>
      </c>
      <c r="C26" s="23" t="n">
        <f aca="false">(1+(Assumptions!$C$6 + $B26/10000))/(1+C$8)-1-Assumptions!$C$6</f>
        <v>0.228588235294118</v>
      </c>
      <c r="D26" s="23" t="n">
        <f aca="false">(1+(Assumptions!$C$6 + $B26/10000))/(1+D$8)-1-Assumptions!$C$6</f>
        <v>0.193142857142857</v>
      </c>
      <c r="E26" s="23" t="n">
        <f aca="false">(1+(Assumptions!$C$6 + $B26/10000))/(1+E$8)-1-Assumptions!$C$6</f>
        <v>0.159666666666667</v>
      </c>
      <c r="F26" s="23" t="n">
        <f aca="false">(1+(Assumptions!$C$6 + $B26/10000))/(1+F$8)-1-Assumptions!$C$6</f>
        <v>0.128</v>
      </c>
      <c r="G26" s="23" t="n">
        <f aca="false">(1+(Assumptions!$C$6 + $B26/10000))/(1+G$8)-1-Assumptions!$C$6</f>
        <v>0.0980000000000001</v>
      </c>
      <c r="H26" s="23" t="n">
        <f aca="false">(1+(Assumptions!$C$6 + $B26/10000))/(1+H$8)-1-Assumptions!$C$6</f>
        <v>0.0695384615384616</v>
      </c>
      <c r="I26" s="23" t="n">
        <f aca="false">(1+(Assumptions!$C$6 + $B26/10000))/(1+I$8)-1-Assumptions!$C$6</f>
        <v>0.0425</v>
      </c>
      <c r="J26" s="23" t="n">
        <f aca="false">(1+(Assumptions!$C$6 + $B26/10000))/(1+J$8)-1-Assumptions!$C$6</f>
        <v>0.0167804878048781</v>
      </c>
      <c r="K26" s="23" t="n">
        <f aca="false">(1+(Assumptions!$C$6 + $B26/10000))/(1+K$8)-1-Assumptions!$C$6</f>
        <v>-0.00771428571428577</v>
      </c>
      <c r="L26" s="23" t="n">
        <f aca="false">(1+(Assumptions!$C$6 + $B26/10000))/(1+L$8)-1-Assumptions!$C$6</f>
        <v>-0.0310697674418604</v>
      </c>
      <c r="M26" s="23" t="n">
        <f aca="false">(1+(Assumptions!$C$6 + $B26/10000))/(1+M$8)-1-Assumptions!$C$6</f>
        <v>-0.0533636363636365</v>
      </c>
      <c r="N26" s="23" t="n">
        <f aca="false">(1+(Assumptions!$C$6 + $B26/10000))/(1+N$8)-1-Assumptions!$C$6</f>
        <v>-0.0746666666666667</v>
      </c>
      <c r="O26" s="23" t="n">
        <f aca="false">(1+(Assumptions!$C$6 + $B26/10000))/(1+O$8)-1-Assumptions!$C$6</f>
        <v>-0.0950434782608697</v>
      </c>
      <c r="P26" s="24" t="n">
        <f aca="false">(1+(Assumptions!$C$6 + $B26/10000))/(1+Assumptions!$C$6)-1</f>
        <v>0.0419960474308301</v>
      </c>
    </row>
    <row r="27" customFormat="false" ht="15" hidden="false" customHeight="false" outlineLevel="0" collapsed="false">
      <c r="B27" s="22" t="n">
        <f aca="false">Assumptions!$C$15 + 18*Assumptions!$C$16</f>
        <v>450</v>
      </c>
      <c r="C27" s="23" t="n">
        <f aca="false">(1+(Assumptions!$C$6 + $B27/10000))/(1+C$8)-1-Assumptions!$C$6</f>
        <v>0.231529411764706</v>
      </c>
      <c r="D27" s="23" t="n">
        <f aca="false">(1+(Assumptions!$C$6 + $B27/10000))/(1+D$8)-1-Assumptions!$C$6</f>
        <v>0.196</v>
      </c>
      <c r="E27" s="23" t="n">
        <f aca="false">(1+(Assumptions!$C$6 + $B27/10000))/(1+E$8)-1-Assumptions!$C$6</f>
        <v>0.162444444444444</v>
      </c>
      <c r="F27" s="23" t="n">
        <f aca="false">(1+(Assumptions!$C$6 + $B27/10000))/(1+F$8)-1-Assumptions!$C$6</f>
        <v>0.130702702702703</v>
      </c>
      <c r="G27" s="23" t="n">
        <f aca="false">(1+(Assumptions!$C$6 + $B27/10000))/(1+G$8)-1-Assumptions!$C$6</f>
        <v>0.100631578947368</v>
      </c>
      <c r="H27" s="23" t="n">
        <f aca="false">(1+(Assumptions!$C$6 + $B27/10000))/(1+H$8)-1-Assumptions!$C$6</f>
        <v>0.0721025641025641</v>
      </c>
      <c r="I27" s="23" t="n">
        <f aca="false">(1+(Assumptions!$C$6 + $B27/10000))/(1+I$8)-1-Assumptions!$C$6</f>
        <v>0.0449999999999999</v>
      </c>
      <c r="J27" s="23" t="n">
        <f aca="false">(1+(Assumptions!$C$6 + $B27/10000))/(1+J$8)-1-Assumptions!$C$6</f>
        <v>0.019219512195122</v>
      </c>
      <c r="K27" s="23" t="n">
        <f aca="false">(1+(Assumptions!$C$6 + $B27/10000))/(1+K$8)-1-Assumptions!$C$6</f>
        <v>-0.0053333333333334</v>
      </c>
      <c r="L27" s="23" t="n">
        <f aca="false">(1+(Assumptions!$C$6 + $B27/10000))/(1+L$8)-1-Assumptions!$C$6</f>
        <v>-0.0287441860465116</v>
      </c>
      <c r="M27" s="23" t="n">
        <f aca="false">(1+(Assumptions!$C$6 + $B27/10000))/(1+M$8)-1-Assumptions!$C$6</f>
        <v>-0.0510909090909092</v>
      </c>
      <c r="N27" s="23" t="n">
        <f aca="false">(1+(Assumptions!$C$6 + $B27/10000))/(1+N$8)-1-Assumptions!$C$6</f>
        <v>-0.0724444444444445</v>
      </c>
      <c r="O27" s="23" t="n">
        <f aca="false">(1+(Assumptions!$C$6 + $B27/10000))/(1+O$8)-1-Assumptions!$C$6</f>
        <v>-0.0928695652173914</v>
      </c>
      <c r="P27" s="24" t="n">
        <f aca="false">(1+(Assumptions!$C$6 + $B27/10000))/(1+Assumptions!$C$6)-1</f>
        <v>0.0444664031620552</v>
      </c>
    </row>
    <row r="28" customFormat="false" ht="15" hidden="false" customHeight="false" outlineLevel="0" collapsed="false">
      <c r="B28" s="22" t="n">
        <f aca="false">Assumptions!$C$15 + 19*Assumptions!$C$16</f>
        <v>475</v>
      </c>
      <c r="C28" s="23" t="n">
        <f aca="false">(1+(Assumptions!$C$6 + $B28/10000))/(1+C$8)-1-Assumptions!$C$6</f>
        <v>0.234470588235294</v>
      </c>
      <c r="D28" s="23" t="n">
        <f aca="false">(1+(Assumptions!$C$6 + $B28/10000))/(1+D$8)-1-Assumptions!$C$6</f>
        <v>0.198857142857143</v>
      </c>
      <c r="E28" s="23" t="n">
        <f aca="false">(1+(Assumptions!$C$6 + $B28/10000))/(1+E$8)-1-Assumptions!$C$6</f>
        <v>0.165222222222222</v>
      </c>
      <c r="F28" s="23" t="n">
        <f aca="false">(1+(Assumptions!$C$6 + $B28/10000))/(1+F$8)-1-Assumptions!$C$6</f>
        <v>0.133405405405405</v>
      </c>
      <c r="G28" s="23" t="n">
        <f aca="false">(1+(Assumptions!$C$6 + $B28/10000))/(1+G$8)-1-Assumptions!$C$6</f>
        <v>0.103263157894737</v>
      </c>
      <c r="H28" s="23" t="n">
        <f aca="false">(1+(Assumptions!$C$6 + $B28/10000))/(1+H$8)-1-Assumptions!$C$6</f>
        <v>0.0746666666666667</v>
      </c>
      <c r="I28" s="23" t="n">
        <f aca="false">(1+(Assumptions!$C$6 + $B28/10000))/(1+I$8)-1-Assumptions!$C$6</f>
        <v>0.0474999999999999</v>
      </c>
      <c r="J28" s="23" t="n">
        <f aca="false">(1+(Assumptions!$C$6 + $B28/10000))/(1+J$8)-1-Assumptions!$C$6</f>
        <v>0.0216585365853659</v>
      </c>
      <c r="K28" s="23" t="n">
        <f aca="false">(1+(Assumptions!$C$6 + $B28/10000))/(1+K$8)-1-Assumptions!$C$6</f>
        <v>-0.00295238095238103</v>
      </c>
      <c r="L28" s="23" t="n">
        <f aca="false">(1+(Assumptions!$C$6 + $B28/10000))/(1+L$8)-1-Assumptions!$C$6</f>
        <v>-0.0264186046511628</v>
      </c>
      <c r="M28" s="23" t="n">
        <f aca="false">(1+(Assumptions!$C$6 + $B28/10000))/(1+M$8)-1-Assumptions!$C$6</f>
        <v>-0.048818181818182</v>
      </c>
      <c r="N28" s="23" t="n">
        <f aca="false">(1+(Assumptions!$C$6 + $B28/10000))/(1+N$8)-1-Assumptions!$C$6</f>
        <v>-0.0702222222222223</v>
      </c>
      <c r="O28" s="23" t="n">
        <f aca="false">(1+(Assumptions!$C$6 + $B28/10000))/(1+O$8)-1-Assumptions!$C$6</f>
        <v>-0.0906956521739133</v>
      </c>
      <c r="P28" s="24" t="n">
        <f aca="false">(1+(Assumptions!$C$6 + $B28/10000))/(1+Assumptions!$C$6)-1</f>
        <v>0.0469367588932805</v>
      </c>
    </row>
    <row r="29" customFormat="false" ht="15" hidden="false" customHeight="false" outlineLevel="0" collapsed="false">
      <c r="B29" s="22" t="n">
        <f aca="false">Assumptions!$C$15 + 20*Assumptions!$C$16</f>
        <v>500</v>
      </c>
      <c r="C29" s="23" t="n">
        <f aca="false">(1+(Assumptions!$C$6 + $B29/10000))/(1+C$8)-1-Assumptions!$C$6</f>
        <v>0.237411764705882</v>
      </c>
      <c r="D29" s="23" t="n">
        <f aca="false">(1+(Assumptions!$C$6 + $B29/10000))/(1+D$8)-1-Assumptions!$C$6</f>
        <v>0.201714285714286</v>
      </c>
      <c r="E29" s="23" t="n">
        <f aca="false">(1+(Assumptions!$C$6 + $B29/10000))/(1+E$8)-1-Assumptions!$C$6</f>
        <v>0.168</v>
      </c>
      <c r="F29" s="23" t="n">
        <f aca="false">(1+(Assumptions!$C$6 + $B29/10000))/(1+F$8)-1-Assumptions!$C$6</f>
        <v>0.136108108108108</v>
      </c>
      <c r="G29" s="23" t="n">
        <f aca="false">(1+(Assumptions!$C$6 + $B29/10000))/(1+G$8)-1-Assumptions!$C$6</f>
        <v>0.105894736842105</v>
      </c>
      <c r="H29" s="23" t="n">
        <f aca="false">(1+(Assumptions!$C$6 + $B29/10000))/(1+H$8)-1-Assumptions!$C$6</f>
        <v>0.0772307692307692</v>
      </c>
      <c r="I29" s="23" t="n">
        <f aca="false">(1+(Assumptions!$C$6 + $B29/10000))/(1+I$8)-1-Assumptions!$C$6</f>
        <v>0.0500000000000001</v>
      </c>
      <c r="J29" s="23" t="n">
        <f aca="false">(1+(Assumptions!$C$6 + $B29/10000))/(1+J$8)-1-Assumptions!$C$6</f>
        <v>0.02409756097561</v>
      </c>
      <c r="K29" s="23" t="n">
        <f aca="false">(1+(Assumptions!$C$6 + $B29/10000))/(1+K$8)-1-Assumptions!$C$6</f>
        <v>-0.000571428571428657</v>
      </c>
      <c r="L29" s="23" t="n">
        <f aca="false">(1+(Assumptions!$C$6 + $B29/10000))/(1+L$8)-1-Assumptions!$C$6</f>
        <v>-0.0240930232558139</v>
      </c>
      <c r="M29" s="23" t="n">
        <f aca="false">(1+(Assumptions!$C$6 + $B29/10000))/(1+M$8)-1-Assumptions!$C$6</f>
        <v>-0.0465454545454545</v>
      </c>
      <c r="N29" s="23" t="n">
        <f aca="false">(1+(Assumptions!$C$6 + $B29/10000))/(1+N$8)-1-Assumptions!$C$6</f>
        <v>-0.0679999999999999</v>
      </c>
      <c r="O29" s="23" t="n">
        <f aca="false">(1+(Assumptions!$C$6 + $B29/10000))/(1+O$8)-1-Assumptions!$C$6</f>
        <v>-0.0885217391304348</v>
      </c>
      <c r="P29" s="24" t="n">
        <f aca="false">(1+(Assumptions!$C$6 + $B29/10000))/(1+Assumptions!$C$6)-1</f>
        <v>0.0494071146245059</v>
      </c>
    </row>
    <row r="31" customFormat="false" ht="15" hidden="false" customHeight="false" outlineLevel="0" collapsed="false">
      <c r="B31" s="15" t="s">
        <v>36</v>
      </c>
    </row>
    <row r="32" customFormat="false" ht="15" hidden="false" customHeight="false" outlineLevel="0" collapsed="false">
      <c r="B32" s="16" t="s">
        <v>37</v>
      </c>
    </row>
    <row r="33" customFormat="false" ht="15" hidden="false" customHeight="false" outlineLevel="0" collapsed="false">
      <c r="B33" s="16" t="s">
        <v>38</v>
      </c>
    </row>
    <row r="34" customFormat="false" ht="15" hidden="false" customHeight="false" outlineLevel="0" collapsed="false">
      <c r="B34" s="16" t="s">
        <v>39</v>
      </c>
    </row>
    <row r="35" customFormat="false" ht="15" hidden="false" customHeight="false" outlineLevel="0" collapsed="false">
      <c r="B35" s="16" t="s">
        <v>40</v>
      </c>
    </row>
  </sheetData>
  <conditionalFormatting sqref="C9:O29">
    <cfRule type="colorScale" priority="2">
      <colorScale>
        <cfvo type="num" val="-0.1"/>
        <cfvo type="num" val="0"/>
        <cfvo type="num" val="0.1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2026-07-22T08:57:29Z</dcterms:created>
  <dc:creator>openpyxl</dc:creator>
  <dc:description/>
  <dc:language>en-US</dc:language>
  <cp:lastModifiedBy/>
  <dcterms:modified xsi:type="dcterms:W3CDTF">2026-07-22T08:57:29Z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