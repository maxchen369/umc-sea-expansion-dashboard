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xch\OneDrive - National University of Singapore\Desktop\實習\UMC\UMC_exp\"/>
    </mc:Choice>
  </mc:AlternateContent>
  <xr:revisionPtr revIDLastSave="0" documentId="13_ncr:1_{B53E19CC-BDA9-4DA3-B79D-BA6B2D27A718}" xr6:coauthVersionLast="47" xr6:coauthVersionMax="47" xr10:uidLastSave="{00000000-0000-0000-0000-000000000000}"/>
  <bookViews>
    <workbookView xWindow="11977" yWindow="5220" windowWidth="7501" windowHeight="7560" tabRatio="500" xr2:uid="{00000000-000D-0000-FFFF-FFFF00000000}"/>
  </bookViews>
  <sheets>
    <sheet name="Assumptions" sheetId="1" r:id="rId1"/>
    <sheet name="FX情境_SGD記帳" sheetId="2" r:id="rId2"/>
    <sheet name="FX情境_USD記帳" sheetId="3" r:id="rId3"/>
    <sheet name="2D敏感度_SGD借USD" sheetId="4" r:id="rId4"/>
    <sheet name="2D敏感度_USD借SG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E5" i="3" s="1"/>
  <c r="E7" i="3" s="1"/>
  <c r="B11" i="5"/>
  <c r="B10" i="5"/>
  <c r="B9" i="5"/>
  <c r="B8" i="5"/>
  <c r="B7" i="5"/>
  <c r="G6" i="5"/>
  <c r="F6" i="5"/>
  <c r="E6" i="5"/>
  <c r="D6" i="5"/>
  <c r="C6" i="5"/>
  <c r="C11" i="5" s="1"/>
  <c r="B11" i="4"/>
  <c r="H11" i="4" s="1"/>
  <c r="B10" i="4"/>
  <c r="H10" i="4" s="1"/>
  <c r="B9" i="4"/>
  <c r="B8" i="4"/>
  <c r="H8" i="4" s="1"/>
  <c r="B7" i="4"/>
  <c r="G6" i="4"/>
  <c r="F6" i="4"/>
  <c r="E6" i="4"/>
  <c r="D6" i="4"/>
  <c r="C6" i="4"/>
  <c r="B17" i="3"/>
  <c r="B16" i="3"/>
  <c r="B15" i="3"/>
  <c r="B14" i="3"/>
  <c r="B13" i="3"/>
  <c r="E6" i="3"/>
  <c r="C14" i="3" s="1"/>
  <c r="B17" i="2"/>
  <c r="B16" i="2"/>
  <c r="B15" i="2"/>
  <c r="B14" i="2"/>
  <c r="B13" i="2"/>
  <c r="E5" i="2"/>
  <c r="E7" i="2" s="1"/>
  <c r="H11" i="5"/>
  <c r="G11" i="5" l="1"/>
  <c r="C8" i="5"/>
  <c r="D9" i="4"/>
  <c r="D8" i="5"/>
  <c r="E8" i="5"/>
  <c r="G7" i="5"/>
  <c r="C17" i="3"/>
  <c r="E10" i="4"/>
  <c r="G8" i="4"/>
  <c r="G8" i="5"/>
  <c r="F10" i="4"/>
  <c r="H8" i="5"/>
  <c r="G10" i="4"/>
  <c r="G9" i="5"/>
  <c r="G7" i="4"/>
  <c r="F8" i="5"/>
  <c r="D10" i="5"/>
  <c r="F11" i="5"/>
  <c r="D17" i="2"/>
  <c r="D13" i="2"/>
  <c r="D15" i="2"/>
  <c r="D16" i="2"/>
  <c r="D14" i="2"/>
  <c r="D16" i="3"/>
  <c r="D17" i="3"/>
  <c r="D15" i="3"/>
  <c r="D13" i="3"/>
  <c r="D14" i="3"/>
  <c r="F14" i="3" s="1"/>
  <c r="G10" i="5"/>
  <c r="C7" i="4"/>
  <c r="C10" i="5"/>
  <c r="C9" i="4"/>
  <c r="C15" i="3"/>
  <c r="F7" i="4"/>
  <c r="E9" i="4"/>
  <c r="C11" i="4"/>
  <c r="C7" i="5"/>
  <c r="F10" i="5"/>
  <c r="C13" i="3"/>
  <c r="E20" i="3"/>
  <c r="H7" i="4"/>
  <c r="F9" i="4"/>
  <c r="D11" i="4"/>
  <c r="D7" i="5"/>
  <c r="G9" i="4"/>
  <c r="E11" i="4"/>
  <c r="E7" i="5"/>
  <c r="C9" i="5"/>
  <c r="H10" i="5"/>
  <c r="D7" i="4"/>
  <c r="E10" i="5"/>
  <c r="C8" i="4"/>
  <c r="H9" i="4"/>
  <c r="F11" i="4"/>
  <c r="F7" i="5"/>
  <c r="D9" i="5"/>
  <c r="E7" i="4"/>
  <c r="G11" i="4"/>
  <c r="E9" i="5"/>
  <c r="D11" i="5"/>
  <c r="C16" i="3"/>
  <c r="D8" i="4"/>
  <c r="E6" i="2"/>
  <c r="E8" i="4"/>
  <c r="C10" i="4"/>
  <c r="H7" i="5"/>
  <c r="F9" i="5"/>
  <c r="F8" i="4"/>
  <c r="D10" i="4"/>
  <c r="E11" i="5"/>
  <c r="H9" i="5"/>
  <c r="E17" i="3" l="1"/>
  <c r="F15" i="3"/>
  <c r="E15" i="3"/>
  <c r="E16" i="3"/>
  <c r="F16" i="3"/>
  <c r="F17" i="3"/>
  <c r="E14" i="3"/>
  <c r="C15" i="2"/>
  <c r="C17" i="2"/>
  <c r="E20" i="2"/>
  <c r="C14" i="2"/>
  <c r="C16" i="2"/>
  <c r="C13" i="2"/>
  <c r="F13" i="3"/>
  <c r="E13" i="3"/>
  <c r="E13" i="2" l="1"/>
  <c r="F13" i="2"/>
  <c r="F16" i="2"/>
  <c r="E16" i="2"/>
  <c r="F14" i="2"/>
  <c r="E14" i="2"/>
  <c r="E17" i="2"/>
  <c r="F17" i="2"/>
  <c r="F15" i="2"/>
  <c r="E15" i="2"/>
</calcChain>
</file>

<file path=xl/sharedStrings.xml><?xml version="1.0" encoding="utf-8"?>
<sst xmlns="http://schemas.openxmlformats.org/spreadsheetml/2006/main" count="70" uniqueCount="63">
  <si>
    <t>借貸成本敏感度分析 — 假設 (Assumptions)</t>
  </si>
  <si>
    <t>核心參數</t>
  </si>
  <si>
    <t>SGD 利率 (borrow SGD)</t>
  </si>
  <si>
    <t>藍字=可調整輸入。基準SGD借款利率</t>
  </si>
  <si>
    <t>USD 利率 (borrow USD)</t>
  </si>
  <si>
    <t>目前 250 bps；改此值會反推USD利率</t>
  </si>
  <si>
    <t>SGD/USD 即期匯率 (1 SGD = ? USD)</t>
  </si>
  <si>
    <t>1 新幣可換得的美金。0.775 表示 1 SGD = 0.775 USD</t>
  </si>
  <si>
    <t>借款本金 (以本幣計)</t>
  </si>
  <si>
    <t>名目本金，單位百萬 (mm)。純為換算方便</t>
  </si>
  <si>
    <t>借款期間 (年)</t>
  </si>
  <si>
    <t>1年 = 直接年化利率比較</t>
  </si>
  <si>
    <t>匯率情境設定</t>
  </si>
  <si>
    <t>情境貶/升值下限</t>
  </si>
  <si>
    <t>本幣相對外幣變動的最不利/最有利端</t>
  </si>
  <si>
    <t>情境貶/升值上限</t>
  </si>
  <si>
    <t>情境步長</t>
  </si>
  <si>
    <t>格點間距</t>
  </si>
  <si>
    <t>利率情境設定</t>
  </si>
  <si>
    <t>利率衝擊下限 (bps)</t>
  </si>
  <si>
    <t>對兩邊利率同步施加的平行衝擊</t>
  </si>
  <si>
    <t>利率衝擊上限 (bps)</t>
  </si>
  <si>
    <t>利率衝擊步長 (bps)</t>
  </si>
  <si>
    <t>說明</t>
  </si>
  <si>
    <t>• 「考慮匯兌風險的借貸成本」= 名目利率 + 借款期間內本幣相對外幣的貶值(%)。</t>
  </si>
  <si>
    <t>• 借外幣時，若本幣貶值，還款換算回本幣的成本上升 → 有效成本 = (1+外幣利率)×(1+外幣升值) − 1。</t>
  </si>
  <si>
    <t>• FX情境以「本幣相對外幣的變動」表示：正值=本幣升值(對借外幣者有利)，負值=本幣貶值。</t>
  </si>
  <si>
    <t>• 兩張情境表分別以 SGD 與 USD 為記帳(home)幣別，直接比較誰的全包成本較低。</t>
  </si>
  <si>
    <t>情境表：以 SGD 記帳，借 USD vs 借 SGD 的全包成本</t>
  </si>
  <si>
    <t>情境：借USD、以SGD衡量成本。若SGD貶值(列為負)，USD債務換回SGD變貴。</t>
  </si>
  <si>
    <t>借 SGD 名目利率</t>
  </si>
  <si>
    <t>借 USD 名目利率</t>
  </si>
  <si>
    <t>借 SGD 的全包成本 (無匯兌風險)</t>
  </si>
  <si>
    <t>借 USD 的全包成本 (含匯兌，以 SGD 衡量)</t>
  </si>
  <si>
    <t>列 = SGD 相對 USD 的變動 (正=升值)</t>
  </si>
  <si>
    <t>SGD 變動</t>
  </si>
  <si>
    <t>借USD全包成本</t>
  </si>
  <si>
    <t>借SGD成本</t>
  </si>
  <si>
    <t>成本差 (借外幣−借本幣)</t>
  </si>
  <si>
    <t>較優選擇</t>
  </si>
  <si>
    <t>損益兩平 FX 變動 (借外幣=借本幣時的本幣升貶):</t>
  </si>
  <si>
    <t>情境表：以 USD 記帳，借 SGD vs 借 USD 的全包成本</t>
  </si>
  <si>
    <t>情境：借SGD、以USD衡量成本。若USD貶值(列為負)，SGD債務換回USD變貴。</t>
  </si>
  <si>
    <t>借 USD 的全包成本 (無匯兌風險)</t>
  </si>
  <si>
    <t>借 SGD 的全包成本 (含匯兌，以 USD 衡量)</t>
  </si>
  <si>
    <t>列 = USD 相對 SGD 的變動 (正=升值)</t>
  </si>
  <si>
    <t>USD 變動</t>
  </si>
  <si>
    <t>借SGD全包成本</t>
  </si>
  <si>
    <t>借USD成本</t>
  </si>
  <si>
    <t>→ USD 變動 (正=升值) 高於此值時借 SGD 較省；低於此值時借 USD 較省。</t>
  </si>
  <si>
    <t>二維敏感度：借 USD 全包成本 (以 SGD 衡量)</t>
  </si>
  <si>
    <t>列 = 利率平行衝擊 (bps，兩邊同步) ; 欄 = SGD 相對 USD 變動 (正=升值)</t>
  </si>
  <si>
    <t>USD利率+衝擊 \ SGD變動</t>
  </si>
  <si>
    <t>對照：借SGD全包成本 (基準利率，隨衝擊) → 見 H 欄</t>
  </si>
  <si>
    <t>借SGD成本 = SGD利率 + 同步衝擊 (無匯兌風險)；格內數值低於同列 H 欄 → 借USD較省</t>
  </si>
  <si>
    <t>二維敏感度：借 SGD 全包成本 (以 USD 衡量)</t>
  </si>
  <si>
    <t>列 = 利率平行衝擊 (bps，兩邊同步) ; 欄 = USD 相對 SGD 變動 (正=升值)</t>
  </si>
  <si>
    <t>SGD利率+衝擊 \ USD變動</t>
  </si>
  <si>
    <t>對照：借USD全包成本 (基準利率，隨衝擊) → 見 H 欄</t>
  </si>
  <si>
    <t>借USD成本 = USD利率 + 同步衝擊 (無匯兌風險)；格內數值低於同列 H 欄 → 借SGD較省</t>
  </si>
  <si>
    <t>利率 Spread (USD − SGD, bps)</t>
    <phoneticPr fontId="20" type="noConversion"/>
  </si>
  <si>
    <t>公式: = SGD利率 + Spread/10000 (自動維持一致)</t>
    <phoneticPr fontId="20" type="noConversion"/>
  </si>
  <si>
    <t>→ SGD 變動 (正=升值) 高於此值時借 USD 較省；低於此值時借 SGD 較省。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</si>
</sst>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.0000"/>
    <numFmt numFmtId="178" formatCode="\$#,##0"/>
    <numFmt numFmtId="179" formatCode="0.0"/>
    <numFmt numFmtId="180" formatCode="0.0%;[Red]\(0.0%\)"/>
    <numFmt numFmtId="181" formatCode="\+0&quot; bps&quot;;\-0&quot; bps&quot;;0&quot; bps&quot;"/>
  </numFmts>
  <fonts count="21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1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sz val="11"/>
      <color rgb="FF0000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sz val="11"/>
      <color rgb="FF000000"/>
      <name val="Arial"/>
      <family val="2"/>
    </font>
    <font>
      <sz val="9"/>
      <name val="Noto Sans CJK SC"/>
      <family val="2"/>
    </font>
    <font>
      <sz val="9"/>
      <name val="Arial"/>
      <family val="2"/>
    </font>
    <font>
      <b/>
      <sz val="13"/>
      <name val="Noto Sans CJK SC"/>
      <family val="2"/>
    </font>
    <font>
      <b/>
      <sz val="11"/>
      <name val="Arial"/>
      <family val="2"/>
    </font>
    <font>
      <i/>
      <sz val="9"/>
      <name val="Noto Sans CJK SC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sz val="11"/>
      <color rgb="FF000000"/>
      <name val="Noto Sans CJK SC"/>
      <family val="2"/>
    </font>
    <font>
      <b/>
      <sz val="10"/>
      <name val="Noto Sans CJK SC"/>
      <family val="2"/>
    </font>
    <font>
      <b/>
      <sz val="11"/>
      <color rgb="FFC00000"/>
      <name val="Arial"/>
      <family val="2"/>
    </font>
    <font>
      <b/>
      <sz val="11"/>
      <color rgb="FF000000"/>
      <name val="Arial"/>
      <family val="2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176" fontId="5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1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8" fontId="5" fillId="3" borderId="1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6" fillId="0" borderId="0" xfId="0" applyFont="1"/>
    <xf numFmtId="176" fontId="12" fillId="2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/>
    <xf numFmtId="176" fontId="18" fillId="3" borderId="1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81" fontId="14" fillId="5" borderId="1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19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6"/>
  <sheetViews>
    <sheetView showGridLines="0" tabSelected="1" zoomScaleNormal="100" workbookViewId="0"/>
  </sheetViews>
  <sheetFormatPr defaultColWidth="8.6640625" defaultRowHeight="14.25"/>
  <cols>
    <col min="1" max="1" width="4" customWidth="1"/>
    <col min="2" max="2" width="42" customWidth="1"/>
    <col min="3" max="3" width="16" customWidth="1"/>
    <col min="4" max="4" width="44" customWidth="1"/>
  </cols>
  <sheetData>
    <row r="2" spans="2:4" ht="21.6" customHeight="1">
      <c r="B2" s="1" t="s">
        <v>0</v>
      </c>
    </row>
    <row r="4" spans="2:4" ht="15" customHeight="1">
      <c r="B4" s="2" t="s">
        <v>1</v>
      </c>
      <c r="C4" s="3"/>
      <c r="D4" s="3"/>
    </row>
    <row r="5" spans="2:4" ht="17.2" customHeight="1">
      <c r="B5" s="4" t="s">
        <v>2</v>
      </c>
      <c r="C5" s="5">
        <v>1.2E-2</v>
      </c>
      <c r="D5" s="6" t="s">
        <v>3</v>
      </c>
    </row>
    <row r="6" spans="2:4" ht="17.2" customHeight="1">
      <c r="B6" s="4" t="s">
        <v>4</v>
      </c>
      <c r="C6" s="7">
        <f>C5+C7/10000</f>
        <v>3.7000000000000005E-2</v>
      </c>
      <c r="D6" s="6" t="s">
        <v>61</v>
      </c>
    </row>
    <row r="7" spans="2:4" ht="17.2" customHeight="1">
      <c r="B7" s="8" t="s">
        <v>60</v>
      </c>
      <c r="C7" s="9">
        <v>250</v>
      </c>
      <c r="D7" s="6" t="s">
        <v>5</v>
      </c>
    </row>
    <row r="8" spans="2:4" ht="17.2" customHeight="1">
      <c r="B8" s="4" t="s">
        <v>6</v>
      </c>
      <c r="C8" s="10">
        <v>0.77500000000000002</v>
      </c>
      <c r="D8" s="11" t="s">
        <v>7</v>
      </c>
    </row>
    <row r="9" spans="2:4" ht="17.2" customHeight="1">
      <c r="B9" s="8" t="s">
        <v>8</v>
      </c>
      <c r="C9" s="12">
        <v>100</v>
      </c>
      <c r="D9" s="6" t="s">
        <v>9</v>
      </c>
    </row>
    <row r="10" spans="2:4" ht="17.2" customHeight="1">
      <c r="B10" s="8" t="s">
        <v>10</v>
      </c>
      <c r="C10" s="13">
        <v>1</v>
      </c>
      <c r="D10" s="11" t="s">
        <v>11</v>
      </c>
    </row>
    <row r="12" spans="2:4" ht="15" customHeight="1">
      <c r="B12" s="2" t="s">
        <v>12</v>
      </c>
      <c r="C12" s="3"/>
      <c r="D12" s="3"/>
    </row>
    <row r="13" spans="2:4" ht="17.2" customHeight="1">
      <c r="B13" s="8" t="s">
        <v>13</v>
      </c>
      <c r="C13" s="5">
        <v>-0.1</v>
      </c>
      <c r="D13" s="6" t="s">
        <v>14</v>
      </c>
    </row>
    <row r="14" spans="2:4" ht="17.2" customHeight="1">
      <c r="B14" s="8" t="s">
        <v>15</v>
      </c>
      <c r="C14" s="5">
        <v>0.1</v>
      </c>
    </row>
    <row r="15" spans="2:4" ht="15" customHeight="1">
      <c r="B15" s="8" t="s">
        <v>16</v>
      </c>
      <c r="C15" s="5">
        <v>0.05</v>
      </c>
      <c r="D15" s="6" t="s">
        <v>17</v>
      </c>
    </row>
    <row r="17" spans="2:4" ht="15" customHeight="1">
      <c r="B17" s="2" t="s">
        <v>18</v>
      </c>
      <c r="C17" s="3"/>
      <c r="D17" s="3"/>
    </row>
    <row r="18" spans="2:4" ht="17.2" customHeight="1">
      <c r="B18" s="8" t="s">
        <v>19</v>
      </c>
      <c r="C18" s="9">
        <v>-100</v>
      </c>
      <c r="D18" s="6" t="s">
        <v>20</v>
      </c>
    </row>
    <row r="19" spans="2:4" ht="17.2" customHeight="1">
      <c r="B19" s="8" t="s">
        <v>21</v>
      </c>
      <c r="C19" s="9">
        <v>100</v>
      </c>
    </row>
    <row r="20" spans="2:4" ht="17.2" customHeight="1">
      <c r="B20" s="8" t="s">
        <v>22</v>
      </c>
      <c r="C20" s="9">
        <v>50</v>
      </c>
    </row>
    <row r="22" spans="2:4" ht="15" customHeight="1">
      <c r="B22" s="14" t="s">
        <v>23</v>
      </c>
    </row>
    <row r="23" spans="2:4" ht="15" customHeight="1">
      <c r="B23" s="15" t="s">
        <v>24</v>
      </c>
    </row>
    <row r="24" spans="2:4" ht="15" customHeight="1">
      <c r="B24" s="15" t="s">
        <v>25</v>
      </c>
    </row>
    <row r="25" spans="2:4" ht="15" customHeight="1">
      <c r="B25" s="16" t="s">
        <v>26</v>
      </c>
    </row>
    <row r="26" spans="2:4" ht="15" customHeight="1">
      <c r="B26" s="15" t="s">
        <v>27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1"/>
  <sheetViews>
    <sheetView showGridLines="0" zoomScaleNormal="100" workbookViewId="0"/>
  </sheetViews>
  <sheetFormatPr defaultColWidth="8.6640625" defaultRowHeight="14.25"/>
  <cols>
    <col min="1" max="1" width="3" customWidth="1"/>
    <col min="2" max="2" width="34" customWidth="1"/>
    <col min="3" max="3" width="18" customWidth="1"/>
    <col min="4" max="4" width="14" customWidth="1"/>
    <col min="5" max="5" width="22" customWidth="1"/>
    <col min="6" max="6" width="14" customWidth="1"/>
  </cols>
  <sheetData>
    <row r="2" spans="2:6" ht="20.100000000000001" customHeight="1">
      <c r="B2" s="17" t="s">
        <v>28</v>
      </c>
    </row>
    <row r="3" spans="2:6" ht="15" customHeight="1">
      <c r="B3" s="18" t="s">
        <v>29</v>
      </c>
    </row>
    <row r="5" spans="2:6" ht="17.2" customHeight="1">
      <c r="B5" s="8" t="s">
        <v>30</v>
      </c>
      <c r="E5" s="7">
        <f>Assumptions!$C$5</f>
        <v>1.2E-2</v>
      </c>
    </row>
    <row r="6" spans="2:6" ht="17.2" customHeight="1">
      <c r="B6" s="8" t="s">
        <v>31</v>
      </c>
      <c r="E6" s="7">
        <f>Assumptions!$C$6</f>
        <v>3.7000000000000005E-2</v>
      </c>
    </row>
    <row r="7" spans="2:6" ht="17.2" customHeight="1">
      <c r="B7" s="14" t="s">
        <v>32</v>
      </c>
      <c r="E7" s="19">
        <f>E5</f>
        <v>1.2E-2</v>
      </c>
    </row>
    <row r="10" spans="2:6" ht="17.2" customHeight="1">
      <c r="B10" s="2" t="s">
        <v>33</v>
      </c>
    </row>
    <row r="11" spans="2:6" ht="15" customHeight="1">
      <c r="B11" s="20" t="s">
        <v>34</v>
      </c>
    </row>
    <row r="12" spans="2:6" ht="17.2" customHeight="1">
      <c r="B12" s="21" t="s">
        <v>35</v>
      </c>
      <c r="C12" s="22" t="s">
        <v>36</v>
      </c>
      <c r="D12" s="22" t="s">
        <v>37</v>
      </c>
      <c r="E12" s="22" t="s">
        <v>38</v>
      </c>
      <c r="F12" s="22" t="s">
        <v>39</v>
      </c>
    </row>
    <row r="13" spans="2:6" ht="17.2" customHeight="1">
      <c r="B13" s="23">
        <f>Assumptions!$C$13 + 0*Assumptions!$C$15</f>
        <v>-0.1</v>
      </c>
      <c r="C13" s="23">
        <f>(1+$E$6)/(1+B13)-1</f>
        <v>0.15222222222222204</v>
      </c>
      <c r="D13" s="23">
        <f>$E$7</f>
        <v>1.2E-2</v>
      </c>
      <c r="E13" s="24">
        <f>C13-D13</f>
        <v>0.14022222222222203</v>
      </c>
      <c r="F13" s="25" t="str">
        <f>IF(C13&lt;D13,"借USD","借SGD")</f>
        <v>借SGD</v>
      </c>
    </row>
    <row r="14" spans="2:6" ht="17.2" customHeight="1">
      <c r="B14" s="23">
        <f>Assumptions!$C$13 + 1*Assumptions!$C$15</f>
        <v>-0.05</v>
      </c>
      <c r="C14" s="23">
        <f>(1+$E$6)/(1+B14)-1</f>
        <v>9.1578947368420982E-2</v>
      </c>
      <c r="D14" s="23">
        <f>$E$7</f>
        <v>1.2E-2</v>
      </c>
      <c r="E14" s="24">
        <f>C14-D14</f>
        <v>7.9578947368420985E-2</v>
      </c>
      <c r="F14" s="25" t="str">
        <f>IF(C14&lt;D14,"借USD","借SGD")</f>
        <v>借SGD</v>
      </c>
    </row>
    <row r="15" spans="2:6" ht="17.2" customHeight="1">
      <c r="B15" s="23">
        <f>Assumptions!$C$13 + 2*Assumptions!$C$15</f>
        <v>0</v>
      </c>
      <c r="C15" s="23">
        <f>(1+$E$6)/(1+B15)-1</f>
        <v>3.6999999999999922E-2</v>
      </c>
      <c r="D15" s="23">
        <f>$E$7</f>
        <v>1.2E-2</v>
      </c>
      <c r="E15" s="24">
        <f>C15-D15</f>
        <v>2.4999999999999922E-2</v>
      </c>
      <c r="F15" s="25" t="str">
        <f>IF(C15&lt;D15,"借USD","借SGD")</f>
        <v>借SGD</v>
      </c>
    </row>
    <row r="16" spans="2:6" ht="17.2" customHeight="1">
      <c r="B16" s="23">
        <f>Assumptions!$C$13 + 3*Assumptions!$C$15</f>
        <v>5.0000000000000017E-2</v>
      </c>
      <c r="C16" s="23">
        <f>(1+$E$6)/(1+B16)-1</f>
        <v>-1.2380952380952492E-2</v>
      </c>
      <c r="D16" s="23">
        <f>$E$7</f>
        <v>1.2E-2</v>
      </c>
      <c r="E16" s="24">
        <f>C16-D16</f>
        <v>-2.4380952380952493E-2</v>
      </c>
      <c r="F16" s="25" t="str">
        <f>IF(C16&lt;D16,"借USD","借SGD")</f>
        <v>借USD</v>
      </c>
    </row>
    <row r="17" spans="2:6" ht="17.2" customHeight="1">
      <c r="B17" s="23">
        <f>Assumptions!$C$13 + 4*Assumptions!$C$15</f>
        <v>0.1</v>
      </c>
      <c r="C17" s="23">
        <f>(1+$E$6)/(1+B17)-1</f>
        <v>-5.7272727272727475E-2</v>
      </c>
      <c r="D17" s="23">
        <f>$E$7</f>
        <v>1.2E-2</v>
      </c>
      <c r="E17" s="24">
        <f>C17-D17</f>
        <v>-6.9272727272727472E-2</v>
      </c>
      <c r="F17" s="25" t="str">
        <f>IF(C17&lt;D17,"借USD","借SGD")</f>
        <v>借USD</v>
      </c>
    </row>
    <row r="20" spans="2:6" ht="15" customHeight="1">
      <c r="B20" s="26" t="s">
        <v>40</v>
      </c>
      <c r="E20" s="27">
        <f>(1+$E$6)/(1+$E$7)-1</f>
        <v>2.4703557312252933E-2</v>
      </c>
    </row>
    <row r="21" spans="2:6" ht="15" customHeight="1">
      <c r="B21" s="18" t="s">
        <v>62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1"/>
  <sheetViews>
    <sheetView showGridLines="0" zoomScaleNormal="100" workbookViewId="0"/>
  </sheetViews>
  <sheetFormatPr defaultColWidth="8.6640625" defaultRowHeight="14.25"/>
  <cols>
    <col min="1" max="1" width="3" customWidth="1"/>
    <col min="2" max="2" width="34" customWidth="1"/>
    <col min="3" max="3" width="18" customWidth="1"/>
    <col min="4" max="4" width="14" customWidth="1"/>
    <col min="5" max="5" width="22" customWidth="1"/>
    <col min="6" max="6" width="14" customWidth="1"/>
  </cols>
  <sheetData>
    <row r="2" spans="2:6" ht="20.100000000000001" customHeight="1">
      <c r="B2" s="17" t="s">
        <v>41</v>
      </c>
    </row>
    <row r="3" spans="2:6" ht="15" customHeight="1">
      <c r="B3" s="18" t="s">
        <v>42</v>
      </c>
    </row>
    <row r="5" spans="2:6" ht="17.2" customHeight="1">
      <c r="B5" s="8" t="s">
        <v>31</v>
      </c>
      <c r="E5" s="7">
        <f>Assumptions!$C$6</f>
        <v>3.7000000000000005E-2</v>
      </c>
    </row>
    <row r="6" spans="2:6" ht="17.2" customHeight="1">
      <c r="B6" s="8" t="s">
        <v>30</v>
      </c>
      <c r="E6" s="7">
        <f>Assumptions!$C$5</f>
        <v>1.2E-2</v>
      </c>
    </row>
    <row r="7" spans="2:6" ht="17.2" customHeight="1">
      <c r="B7" s="14" t="s">
        <v>43</v>
      </c>
      <c r="E7" s="19">
        <f>E5</f>
        <v>3.7000000000000005E-2</v>
      </c>
    </row>
    <row r="10" spans="2:6" ht="17.2" customHeight="1">
      <c r="B10" s="2" t="s">
        <v>44</v>
      </c>
    </row>
    <row r="11" spans="2:6" ht="15" customHeight="1">
      <c r="B11" s="20" t="s">
        <v>45</v>
      </c>
    </row>
    <row r="12" spans="2:6" ht="17.2" customHeight="1">
      <c r="B12" s="21" t="s">
        <v>46</v>
      </c>
      <c r="C12" s="22" t="s">
        <v>47</v>
      </c>
      <c r="D12" s="22" t="s">
        <v>48</v>
      </c>
      <c r="E12" s="22" t="s">
        <v>38</v>
      </c>
      <c r="F12" s="22" t="s">
        <v>39</v>
      </c>
    </row>
    <row r="13" spans="2:6" ht="17.2" customHeight="1">
      <c r="B13" s="23">
        <f>Assumptions!$C$13 + 0*Assumptions!$C$15</f>
        <v>-0.1</v>
      </c>
      <c r="C13" s="23">
        <f>(1+$E$6)/(1+B13)-1</f>
        <v>0.12444444444444436</v>
      </c>
      <c r="D13" s="23">
        <f>$E$7</f>
        <v>3.7000000000000005E-2</v>
      </c>
      <c r="E13" s="24">
        <f>C13-D13</f>
        <v>8.7444444444444352E-2</v>
      </c>
      <c r="F13" s="25" t="str">
        <f>IF(C13&lt;D13,"借SGD","借USD")</f>
        <v>借USD</v>
      </c>
    </row>
    <row r="14" spans="2:6" ht="17.2" customHeight="1">
      <c r="B14" s="23">
        <f>Assumptions!$C$13 + 1*Assumptions!$C$15</f>
        <v>-0.05</v>
      </c>
      <c r="C14" s="23">
        <f>(1+$E$6)/(1+B14)-1</f>
        <v>6.5263157894736912E-2</v>
      </c>
      <c r="D14" s="23">
        <f>$E$7</f>
        <v>3.7000000000000005E-2</v>
      </c>
      <c r="E14" s="24">
        <f>C14-D14</f>
        <v>2.8263157894736907E-2</v>
      </c>
      <c r="F14" s="25" t="str">
        <f>IF(C14&lt;D14,"借SGD","借USD")</f>
        <v>借USD</v>
      </c>
    </row>
    <row r="15" spans="2:6" ht="17.2" customHeight="1">
      <c r="B15" s="23">
        <f>Assumptions!$C$13 + 2*Assumptions!$C$15</f>
        <v>0</v>
      </c>
      <c r="C15" s="23">
        <f>(1+$E$6)/(1+B15)-1</f>
        <v>1.2000000000000011E-2</v>
      </c>
      <c r="D15" s="23">
        <f>$E$7</f>
        <v>3.7000000000000005E-2</v>
      </c>
      <c r="E15" s="24">
        <f>C15-D15</f>
        <v>-2.4999999999999994E-2</v>
      </c>
      <c r="F15" s="25" t="str">
        <f>IF(C15&lt;D15,"借SGD","借USD")</f>
        <v>借SGD</v>
      </c>
    </row>
    <row r="16" spans="2:6" ht="17.2" customHeight="1">
      <c r="B16" s="23">
        <f>Assumptions!$C$13 + 3*Assumptions!$C$15</f>
        <v>5.0000000000000017E-2</v>
      </c>
      <c r="C16" s="23">
        <f>(1+$E$6)/(1+B16)-1</f>
        <v>-3.6190476190476217E-2</v>
      </c>
      <c r="D16" s="23">
        <f>$E$7</f>
        <v>3.7000000000000005E-2</v>
      </c>
      <c r="E16" s="24">
        <f>C16-D16</f>
        <v>-7.3190476190476222E-2</v>
      </c>
      <c r="F16" s="25" t="str">
        <f>IF(C16&lt;D16,"借SGD","借USD")</f>
        <v>借SGD</v>
      </c>
    </row>
    <row r="17" spans="2:6" ht="17.2" customHeight="1">
      <c r="B17" s="23">
        <f>Assumptions!$C$13 + 4*Assumptions!$C$15</f>
        <v>0.1</v>
      </c>
      <c r="C17" s="23">
        <f>(1+$E$6)/(1+B17)-1</f>
        <v>-8.0000000000000071E-2</v>
      </c>
      <c r="D17" s="23">
        <f>$E$7</f>
        <v>3.7000000000000005E-2</v>
      </c>
      <c r="E17" s="24">
        <f>C17-D17</f>
        <v>-0.11700000000000008</v>
      </c>
      <c r="F17" s="25" t="str">
        <f>IF(C17&lt;D17,"借SGD","借USD")</f>
        <v>借SGD</v>
      </c>
    </row>
    <row r="20" spans="2:6" ht="15" customHeight="1">
      <c r="B20" s="26" t="s">
        <v>40</v>
      </c>
      <c r="E20" s="27">
        <f>(1+$E$6)/(1+$E$7)-1</f>
        <v>-2.4108003857280513E-2</v>
      </c>
    </row>
    <row r="21" spans="2:6" ht="15" customHeight="1">
      <c r="B21" s="18" t="s">
        <v>49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showGridLines="0" zoomScaleNormal="100" workbookViewId="0"/>
  </sheetViews>
  <sheetFormatPr defaultColWidth="8.6640625" defaultRowHeight="14.25"/>
  <cols>
    <col min="1" max="1" width="3" customWidth="1"/>
    <col min="2" max="2" width="30" customWidth="1"/>
    <col min="3" max="8" width="13" customWidth="1"/>
  </cols>
  <sheetData>
    <row r="2" spans="2:8" ht="20.100000000000001" customHeight="1">
      <c r="B2" s="17" t="s">
        <v>50</v>
      </c>
    </row>
    <row r="3" spans="2:8" ht="15" customHeight="1">
      <c r="B3" s="18" t="s">
        <v>51</v>
      </c>
    </row>
    <row r="6" spans="2:8" ht="17.2" customHeight="1">
      <c r="B6" s="21" t="s">
        <v>52</v>
      </c>
      <c r="C6" s="28">
        <f>Assumptions!$C$13 + 0*Assumptions!$C$15</f>
        <v>-0.1</v>
      </c>
      <c r="D6" s="28">
        <f>Assumptions!$C$13 + 1*Assumptions!$C$15</f>
        <v>-0.05</v>
      </c>
      <c r="E6" s="28">
        <f>Assumptions!$C$13 + 2*Assumptions!$C$15</f>
        <v>0</v>
      </c>
      <c r="F6" s="28">
        <f>Assumptions!$C$13 + 3*Assumptions!$C$15</f>
        <v>5.0000000000000017E-2</v>
      </c>
      <c r="G6" s="28">
        <f>Assumptions!$C$13 + 4*Assumptions!$C$15</f>
        <v>0.1</v>
      </c>
      <c r="H6" s="21" t="s">
        <v>37</v>
      </c>
    </row>
    <row r="7" spans="2:8" ht="15" customHeight="1">
      <c r="B7" s="29">
        <f>Assumptions!$C$18 + 0*Assumptions!$C$20</f>
        <v>-100</v>
      </c>
      <c r="C7" s="7">
        <f>(1+(Assumptions!$C$6+$B7/10000))/(1+C$6)-1</f>
        <v>0.14111111111111097</v>
      </c>
      <c r="D7" s="30">
        <f>(1+(Assumptions!$C$6+$B7/10000))/(1+D$6)-1</f>
        <v>8.1052631578947265E-2</v>
      </c>
      <c r="E7" s="7">
        <f>(1+(Assumptions!$C$6+$B7/10000))/(1+E$6)-1</f>
        <v>2.6999999999999913E-2</v>
      </c>
      <c r="F7" s="30">
        <f>(1+(Assumptions!$C$6+$B7/10000))/(1+F$6)-1</f>
        <v>-2.1904761904761982E-2</v>
      </c>
      <c r="G7" s="7">
        <f>(1+(Assumptions!$C$6+$B7/10000))/(1+G$6)-1</f>
        <v>-6.6363636363636513E-2</v>
      </c>
      <c r="H7" s="31">
        <f>Assumptions!$C$5+$B7/10000</f>
        <v>2E-3</v>
      </c>
    </row>
    <row r="8" spans="2:8" ht="15" customHeight="1">
      <c r="B8" s="29">
        <f>Assumptions!$C$18 + 1*Assumptions!$C$20</f>
        <v>-50</v>
      </c>
      <c r="C8" s="30">
        <f>(1+(Assumptions!$C$6+$B8/10000))/(1+C$6)-1</f>
        <v>0.14666666666666672</v>
      </c>
      <c r="D8" s="7">
        <f>(1+(Assumptions!$C$6+$B8/10000))/(1+D$6)-1</f>
        <v>8.6315789473684346E-2</v>
      </c>
      <c r="E8" s="30">
        <f>(1+(Assumptions!$C$6+$B8/10000))/(1+E$6)-1</f>
        <v>3.2000000000000028E-2</v>
      </c>
      <c r="F8" s="7">
        <f>(1+(Assumptions!$C$6+$B8/10000))/(1+F$6)-1</f>
        <v>-1.7142857142857126E-2</v>
      </c>
      <c r="G8" s="30">
        <f>(1+(Assumptions!$C$6+$B8/10000))/(1+G$6)-1</f>
        <v>-6.1818181818181883E-2</v>
      </c>
      <c r="H8" s="31">
        <f>Assumptions!$C$5+$B8/10000</f>
        <v>7.0000000000000001E-3</v>
      </c>
    </row>
    <row r="9" spans="2:8" ht="15" customHeight="1">
      <c r="B9" s="29">
        <f>Assumptions!$C$18 + 2*Assumptions!$C$20</f>
        <v>0</v>
      </c>
      <c r="C9" s="7">
        <f>(1+(Assumptions!$C$6+$B9/10000))/(1+C$6)-1</f>
        <v>0.15222222222222204</v>
      </c>
      <c r="D9" s="30">
        <f>(1+(Assumptions!$C$6+$B9/10000))/(1+D$6)-1</f>
        <v>9.1578947368420982E-2</v>
      </c>
      <c r="E9" s="7">
        <f>(1+(Assumptions!$C$6+$B9/10000))/(1+E$6)-1</f>
        <v>3.6999999999999922E-2</v>
      </c>
      <c r="F9" s="30">
        <f>(1+(Assumptions!$C$6+$B9/10000))/(1+F$6)-1</f>
        <v>-1.2380952380952492E-2</v>
      </c>
      <c r="G9" s="7">
        <f>(1+(Assumptions!$C$6+$B9/10000))/(1+G$6)-1</f>
        <v>-5.7272727272727475E-2</v>
      </c>
      <c r="H9" s="31">
        <f>Assumptions!$C$5+$B9/10000</f>
        <v>1.2E-2</v>
      </c>
    </row>
    <row r="10" spans="2:8" ht="15" customHeight="1">
      <c r="B10" s="29">
        <f>Assumptions!$C$18 + 3*Assumptions!$C$20</f>
        <v>50</v>
      </c>
      <c r="C10" s="30">
        <f>(1+(Assumptions!$C$6+$B10/10000))/(1+C$6)-1</f>
        <v>0.15777777777777779</v>
      </c>
      <c r="D10" s="7">
        <f>(1+(Assumptions!$C$6+$B10/10000))/(1+D$6)-1</f>
        <v>9.6842105263158063E-2</v>
      </c>
      <c r="E10" s="30">
        <f>(1+(Assumptions!$C$6+$B10/10000))/(1+E$6)-1</f>
        <v>4.2000000000000037E-2</v>
      </c>
      <c r="F10" s="7">
        <f>(1+(Assumptions!$C$6+$B10/10000))/(1+F$6)-1</f>
        <v>-7.6190476190476364E-3</v>
      </c>
      <c r="G10" s="30">
        <f>(1+(Assumptions!$C$6+$B10/10000))/(1+G$6)-1</f>
        <v>-5.2727272727272734E-2</v>
      </c>
      <c r="H10" s="31">
        <f>Assumptions!$C$5+$B10/10000</f>
        <v>1.7000000000000001E-2</v>
      </c>
    </row>
    <row r="11" spans="2:8" ht="15" customHeight="1">
      <c r="B11" s="29">
        <f>Assumptions!$C$18 + 4*Assumptions!$C$20</f>
        <v>100</v>
      </c>
      <c r="C11" s="7">
        <f>(1+(Assumptions!$C$6+$B11/10000))/(1+C$6)-1</f>
        <v>0.16333333333333333</v>
      </c>
      <c r="D11" s="30">
        <f>(1+(Assumptions!$C$6+$B11/10000))/(1+D$6)-1</f>
        <v>0.1021052631578947</v>
      </c>
      <c r="E11" s="7">
        <f>(1+(Assumptions!$C$6+$B11/10000))/(1+E$6)-1</f>
        <v>4.6999999999999931E-2</v>
      </c>
      <c r="F11" s="30">
        <f>(1+(Assumptions!$C$6+$B11/10000))/(1+F$6)-1</f>
        <v>-2.8571428571430024E-3</v>
      </c>
      <c r="G11" s="7">
        <f>(1+(Assumptions!$C$6+$B11/10000))/(1+G$6)-1</f>
        <v>-4.8181818181818326E-2</v>
      </c>
      <c r="H11" s="31">
        <f>Assumptions!$C$5+$B11/10000</f>
        <v>2.1999999999999999E-2</v>
      </c>
    </row>
    <row r="13" spans="2:8" ht="17.2" customHeight="1">
      <c r="B13" s="14" t="s">
        <v>53</v>
      </c>
    </row>
    <row r="14" spans="2:8" ht="15" customHeight="1">
      <c r="B14" s="18" t="s">
        <v>54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4"/>
  <sheetViews>
    <sheetView showGridLines="0" zoomScaleNormal="100" workbookViewId="0"/>
  </sheetViews>
  <sheetFormatPr defaultColWidth="8.6640625" defaultRowHeight="14.25"/>
  <cols>
    <col min="1" max="1" width="3" customWidth="1"/>
    <col min="2" max="2" width="30" customWidth="1"/>
    <col min="3" max="8" width="13" customWidth="1"/>
  </cols>
  <sheetData>
    <row r="2" spans="2:8" ht="20.100000000000001" customHeight="1">
      <c r="B2" s="17" t="s">
        <v>55</v>
      </c>
    </row>
    <row r="3" spans="2:8" ht="15" customHeight="1">
      <c r="B3" s="18" t="s">
        <v>56</v>
      </c>
    </row>
    <row r="6" spans="2:8" ht="17.2" customHeight="1">
      <c r="B6" s="21" t="s">
        <v>57</v>
      </c>
      <c r="C6" s="28">
        <f>Assumptions!$C$13 + 0*Assumptions!$C$15</f>
        <v>-0.1</v>
      </c>
      <c r="D6" s="28">
        <f>Assumptions!$C$13 + 1*Assumptions!$C$15</f>
        <v>-0.05</v>
      </c>
      <c r="E6" s="28">
        <f>Assumptions!$C$13 + 2*Assumptions!$C$15</f>
        <v>0</v>
      </c>
      <c r="F6" s="28">
        <f>Assumptions!$C$13 + 3*Assumptions!$C$15</f>
        <v>5.0000000000000017E-2</v>
      </c>
      <c r="G6" s="28">
        <f>Assumptions!$C$13 + 4*Assumptions!$C$15</f>
        <v>0.1</v>
      </c>
      <c r="H6" s="21" t="s">
        <v>48</v>
      </c>
    </row>
    <row r="7" spans="2:8" ht="15" customHeight="1">
      <c r="B7" s="29">
        <f>Assumptions!$C$18 + 0*Assumptions!$C$20</f>
        <v>-100</v>
      </c>
      <c r="C7" s="7">
        <f>(1+(Assumptions!$C$5+$B7/10000))/(1+C$6)-1</f>
        <v>0.11333333333333329</v>
      </c>
      <c r="D7" s="30">
        <f>(1+(Assumptions!$C$5+$B7/10000))/(1+D$6)-1</f>
        <v>5.4736842105263195E-2</v>
      </c>
      <c r="E7" s="7">
        <f>(1+(Assumptions!$C$5+$B7/10000))/(1+E$6)-1</f>
        <v>2.0000000000000018E-3</v>
      </c>
      <c r="F7" s="30">
        <f>(1+(Assumptions!$C$5+$B7/10000))/(1+F$6)-1</f>
        <v>-4.5714285714285707E-2</v>
      </c>
      <c r="G7" s="7">
        <f>(1+(Assumptions!$C$5+$B7/10000))/(1+G$6)-1</f>
        <v>-8.9090909090909109E-2</v>
      </c>
      <c r="H7" s="31">
        <f>Assumptions!$C$6+$B7/10000</f>
        <v>2.7000000000000003E-2</v>
      </c>
    </row>
    <row r="8" spans="2:8" ht="15" customHeight="1">
      <c r="B8" s="29">
        <f>Assumptions!$C$18 + 1*Assumptions!$C$20</f>
        <v>-50</v>
      </c>
      <c r="C8" s="30">
        <f>(1+(Assumptions!$C$5+$B8/10000))/(1+C$6)-1</f>
        <v>0.11888888888888882</v>
      </c>
      <c r="D8" s="7">
        <f>(1+(Assumptions!$C$5+$B8/10000))/(1+D$6)-1</f>
        <v>5.9999999999999831E-2</v>
      </c>
      <c r="E8" s="30">
        <f>(1+(Assumptions!$C$5+$B8/10000))/(1+E$6)-1</f>
        <v>6.9999999999998952E-3</v>
      </c>
      <c r="F8" s="7">
        <f>(1+(Assumptions!$C$5+$B8/10000))/(1+F$6)-1</f>
        <v>-4.0952380952381073E-2</v>
      </c>
      <c r="G8" s="30">
        <f>(1+(Assumptions!$C$5+$B8/10000))/(1+G$6)-1</f>
        <v>-8.4545454545454701E-2</v>
      </c>
      <c r="H8" s="31">
        <f>Assumptions!$C$6+$B8/10000</f>
        <v>3.2000000000000008E-2</v>
      </c>
    </row>
    <row r="9" spans="2:8" ht="15" customHeight="1">
      <c r="B9" s="29">
        <f>Assumptions!$C$18 + 2*Assumptions!$C$20</f>
        <v>0</v>
      </c>
      <c r="C9" s="7">
        <f>(1+(Assumptions!$C$5+$B9/10000))/(1+C$6)-1</f>
        <v>0.12444444444444436</v>
      </c>
      <c r="D9" s="30">
        <f>(1+(Assumptions!$C$5+$B9/10000))/(1+D$6)-1</f>
        <v>6.5263157894736912E-2</v>
      </c>
      <c r="E9" s="7">
        <f>(1+(Assumptions!$C$5+$B9/10000))/(1+E$6)-1</f>
        <v>1.2000000000000011E-2</v>
      </c>
      <c r="F9" s="30">
        <f>(1+(Assumptions!$C$5+$B9/10000))/(1+F$6)-1</f>
        <v>-3.6190476190476217E-2</v>
      </c>
      <c r="G9" s="7">
        <f>(1+(Assumptions!$C$5+$B9/10000))/(1+G$6)-1</f>
        <v>-8.0000000000000071E-2</v>
      </c>
      <c r="H9" s="31">
        <f>Assumptions!$C$6+$B9/10000</f>
        <v>3.7000000000000005E-2</v>
      </c>
    </row>
    <row r="10" spans="2:8" ht="15" customHeight="1">
      <c r="B10" s="29">
        <f>Assumptions!$C$18 + 3*Assumptions!$C$20</f>
        <v>50</v>
      </c>
      <c r="C10" s="30">
        <f>(1+(Assumptions!$C$5+$B10/10000))/(1+C$6)-1</f>
        <v>0.12999999999999989</v>
      </c>
      <c r="D10" s="7">
        <f>(1+(Assumptions!$C$5+$B10/10000))/(1+D$6)-1</f>
        <v>7.0526315789473548E-2</v>
      </c>
      <c r="E10" s="30">
        <f>(1+(Assumptions!$C$5+$B10/10000))/(1+E$6)-1</f>
        <v>1.6999999999999904E-2</v>
      </c>
      <c r="F10" s="7">
        <f>(1+(Assumptions!$C$5+$B10/10000))/(1+F$6)-1</f>
        <v>-3.1428571428571583E-2</v>
      </c>
      <c r="G10" s="30">
        <f>(1+(Assumptions!$C$5+$B10/10000))/(1+G$6)-1</f>
        <v>-7.5454545454545663E-2</v>
      </c>
      <c r="H10" s="31">
        <f>Assumptions!$C$6+$B10/10000</f>
        <v>4.2000000000000003E-2</v>
      </c>
    </row>
    <row r="11" spans="2:8" ht="15" customHeight="1">
      <c r="B11" s="29">
        <f>Assumptions!$C$18 + 4*Assumptions!$C$20</f>
        <v>100</v>
      </c>
      <c r="C11" s="7">
        <f>(1+(Assumptions!$C$5+$B11/10000))/(1+C$6)-1</f>
        <v>0.13555555555555565</v>
      </c>
      <c r="D11" s="30">
        <f>(1+(Assumptions!$C$5+$B11/10000))/(1+D$6)-1</f>
        <v>7.5789473684210629E-2</v>
      </c>
      <c r="E11" s="7">
        <f>(1+(Assumptions!$C$5+$B11/10000))/(1+E$6)-1</f>
        <v>2.200000000000002E-2</v>
      </c>
      <c r="F11" s="30">
        <f>(1+(Assumptions!$C$5+$B11/10000))/(1+F$6)-1</f>
        <v>-2.6666666666666727E-2</v>
      </c>
      <c r="G11" s="7">
        <f>(1+(Assumptions!$C$5+$B11/10000))/(1+G$6)-1</f>
        <v>-7.0909090909090922E-2</v>
      </c>
      <c r="H11" s="31">
        <f>Assumptions!$C$6+$B11/10000</f>
        <v>4.7000000000000007E-2</v>
      </c>
    </row>
    <row r="13" spans="2:8" ht="17.2" customHeight="1">
      <c r="B13" s="14" t="s">
        <v>58</v>
      </c>
    </row>
    <row r="14" spans="2:8" ht="15" customHeight="1">
      <c r="B14" s="18" t="s">
        <v>59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FX情境_SGD記帳</vt:lpstr>
      <vt:lpstr>FX情境_USD記帳</vt:lpstr>
      <vt:lpstr>2D敏感度_SGD借USD</vt:lpstr>
      <vt:lpstr>2D敏感度_USD借SGD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239bb31b@cloud.kobe-u.jp</cp:lastModifiedBy>
  <cp:revision>0</cp:revision>
  <dcterms:created xsi:type="dcterms:W3CDTF">2026-07-15T09:10:37Z</dcterms:created>
  <dcterms:modified xsi:type="dcterms:W3CDTF">2026-09-14T13:22:26Z</dcterms:modified>
  <dc:language>en-US</dc:language>
</cp:coreProperties>
</file>