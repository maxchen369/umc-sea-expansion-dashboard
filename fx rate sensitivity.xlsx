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X情境_SGD記帳" sheetId="2" state="visible" r:id="rId4"/>
    <sheet name="FX情境_USD記帳" sheetId="3" state="visible" r:id="rId5"/>
    <sheet name="2D敏感度_SGD借USD" sheetId="4" state="visible" r:id="rId6"/>
    <sheet name="2D敏感度_USD借SG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<sst xmlns="http://schemas.openxmlformats.org/spreadsheetml/2006/main" count="68" uniqueCount="63">
  <si>
    <r>
      <rPr>
        <b val="true"/>
        <sz val="14"/>
        <rFont val="Noto Sans CJK SC"/>
        <family val="2"/>
      </rPr>
      <t xml:space="preserve">借貸成本敏感度分析 — 假設 </t>
    </r>
    <r>
      <rPr>
        <b val="true"/>
        <sz val="14"/>
        <rFont val="Arial"/>
        <family val="0"/>
        <charset val="1"/>
      </rPr>
      <t xml:space="preserve">(Assumptions)</t>
    </r>
  </si>
  <si>
    <t xml:space="preserve">核心參數</t>
  </si>
  <si>
    <r>
      <rPr>
        <sz val="11"/>
        <rFont val="Arial"/>
        <family val="0"/>
        <charset val="1"/>
      </rPr>
      <t xml:space="preserve">SGD </t>
    </r>
    <r>
      <rPr>
        <sz val="11"/>
        <rFont val="Noto Sans CJK SC"/>
        <family val="2"/>
      </rPr>
      <t xml:space="preserve">利率 </t>
    </r>
    <r>
      <rPr>
        <sz val="11"/>
        <rFont val="Arial"/>
        <family val="0"/>
        <charset val="1"/>
      </rPr>
      <t xml:space="preserve">(borrow SGD)</t>
    </r>
  </si>
  <si>
    <r>
      <rPr>
        <i val="true"/>
        <sz val="9"/>
        <color rgb="FF808080"/>
        <rFont val="Noto Sans CJK SC"/>
        <family val="2"/>
      </rPr>
      <t xml:space="preserve">藍字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可調整輸入。基準</t>
    </r>
    <r>
      <rPr>
        <i val="true"/>
        <sz val="9"/>
        <color rgb="FF808080"/>
        <rFont val="Arial"/>
        <family val="0"/>
        <charset val="1"/>
      </rPr>
      <t xml:space="preserve">SGD</t>
    </r>
    <r>
      <rPr>
        <i val="true"/>
        <sz val="9"/>
        <color rgb="FF808080"/>
        <rFont val="Noto Sans CJK SC"/>
        <family val="2"/>
      </rPr>
      <t xml:space="preserve">借款利率</t>
    </r>
  </si>
  <si>
    <r>
      <rPr>
        <sz val="11"/>
        <rFont val="Arial"/>
        <family val="0"/>
        <charset val="1"/>
      </rPr>
      <t xml:space="preserve">USD </t>
    </r>
    <r>
      <rPr>
        <sz val="11"/>
        <rFont val="Noto Sans CJK SC"/>
        <family val="2"/>
      </rPr>
      <t xml:space="preserve">利率 </t>
    </r>
    <r>
      <rPr>
        <sz val="11"/>
        <rFont val="Arial"/>
        <family val="0"/>
        <charset val="1"/>
      </rPr>
      <t xml:space="preserve">(borrow USD)</t>
    </r>
  </si>
  <si>
    <r>
      <rPr>
        <i val="true"/>
        <sz val="9"/>
        <color rgb="FF808080"/>
        <rFont val="Noto Sans CJK SC"/>
        <family val="2"/>
      </rPr>
      <t xml:space="preserve">公式</t>
    </r>
    <r>
      <rPr>
        <i val="true"/>
        <sz val="9"/>
        <color rgb="FF808080"/>
        <rFont val="Arial"/>
        <family val="0"/>
        <charset val="1"/>
      </rPr>
      <t xml:space="preserve">: = SGD</t>
    </r>
    <r>
      <rPr>
        <i val="true"/>
        <sz val="9"/>
        <color rgb="FF808080"/>
        <rFont val="Noto Sans CJK SC"/>
        <family val="2"/>
      </rPr>
      <t xml:space="preserve">利率 − </t>
    </r>
    <r>
      <rPr>
        <i val="true"/>
        <sz val="9"/>
        <color rgb="FF808080"/>
        <rFont val="Arial"/>
        <family val="0"/>
        <charset val="1"/>
      </rPr>
      <t xml:space="preserve">Spread/10000 (</t>
    </r>
    <r>
      <rPr>
        <i val="true"/>
        <sz val="9"/>
        <color rgb="FF808080"/>
        <rFont val="Noto Sans CJK SC"/>
        <family val="2"/>
      </rPr>
      <t xml:space="preserve">自動維持一致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</si>
  <si>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利率 </t>
    </r>
    <r>
      <rPr>
        <sz val="11"/>
        <rFont val="Arial"/>
        <family val="0"/>
        <charset val="1"/>
      </rPr>
      <t xml:space="preserve">Spread (SGD − USD, bps)</t>
    </r>
  </si>
  <si>
    <r>
      <rPr>
        <i val="true"/>
        <sz val="9"/>
        <color rgb="FF808080"/>
        <rFont val="Noto Sans CJK SC"/>
        <family val="2"/>
      </rPr>
      <t xml:space="preserve">目前 </t>
    </r>
    <r>
      <rPr>
        <i val="true"/>
        <sz val="9"/>
        <color rgb="FF808080"/>
        <rFont val="Arial"/>
        <family val="0"/>
        <charset val="1"/>
      </rPr>
      <t xml:space="preserve">250 bps</t>
    </r>
    <r>
      <rPr>
        <i val="true"/>
        <sz val="9"/>
        <color rgb="FF808080"/>
        <rFont val="Noto Sans CJK SC"/>
        <family val="2"/>
      </rPr>
      <t xml:space="preserve">；改此值會反推</t>
    </r>
    <r>
      <rPr>
        <i val="true"/>
        <sz val="9"/>
        <color rgb="FF808080"/>
        <rFont val="Arial"/>
        <family val="0"/>
        <charset val="1"/>
      </rPr>
      <t xml:space="preserve">USD</t>
    </r>
    <r>
      <rPr>
        <i val="true"/>
        <sz val="9"/>
        <color rgb="FF808080"/>
        <rFont val="Noto Sans CJK SC"/>
        <family val="2"/>
      </rPr>
      <t xml:space="preserve">利率</t>
    </r>
  </si>
  <si>
    <r>
      <rPr>
        <sz val="11"/>
        <rFont val="Arial"/>
        <family val="0"/>
        <charset val="1"/>
      </rPr>
      <t xml:space="preserve">SGD/USD </t>
    </r>
    <r>
      <rPr>
        <sz val="11"/>
        <rFont val="Noto Sans CJK SC"/>
        <family val="2"/>
      </rPr>
      <t xml:space="preserve">即期匯率 </t>
    </r>
    <r>
      <rPr>
        <sz val="11"/>
        <rFont val="Arial"/>
        <family val="0"/>
        <charset val="1"/>
      </rPr>
      <t xml:space="preserve">(1 SGD = ? USD)</t>
    </r>
  </si>
  <si>
    <r>
      <rPr>
        <i val="true"/>
        <sz val="9"/>
        <color rgb="FF808080"/>
        <rFont val="Arial"/>
        <family val="0"/>
        <charset val="1"/>
      </rPr>
      <t xml:space="preserve">1 </t>
    </r>
    <r>
      <rPr>
        <i val="true"/>
        <sz val="9"/>
        <color rgb="FF808080"/>
        <rFont val="Noto Sans CJK SC"/>
        <family val="2"/>
      </rPr>
      <t xml:space="preserve">新幣可換得的美金。</t>
    </r>
    <r>
      <rPr>
        <i val="true"/>
        <sz val="9"/>
        <color rgb="FF808080"/>
        <rFont val="Arial"/>
        <family val="0"/>
        <charset val="1"/>
      </rPr>
      <t xml:space="preserve">0.775 </t>
    </r>
    <r>
      <rPr>
        <i val="true"/>
        <sz val="9"/>
        <color rgb="FF808080"/>
        <rFont val="Noto Sans CJK SC"/>
        <family val="2"/>
      </rPr>
      <t xml:space="preserve">表示 </t>
    </r>
    <r>
      <rPr>
        <i val="true"/>
        <sz val="9"/>
        <color rgb="FF808080"/>
        <rFont val="Arial"/>
        <family val="0"/>
        <charset val="1"/>
      </rPr>
      <t xml:space="preserve">1 SGD = 0.775 USD</t>
    </r>
  </si>
  <si>
    <r>
      <rPr>
        <sz val="11"/>
        <rFont val="Noto Sans CJK SC"/>
        <family val="2"/>
      </rPr>
      <t xml:space="preserve">借款本金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以本幣計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</si>
  <si>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名目本金，單位百萬 </t>
    </r>
    <r>
      <rPr>
        <i val="true"/>
        <sz val="9"/>
        <color rgb="FF808080"/>
        <rFont val="Arial"/>
        <family val="0"/>
        <charset val="1"/>
      </rPr>
      <t xml:space="preserve">(mm)</t>
    </r>
    <r>
      <rPr>
        <i val="true"/>
        <sz val="9"/>
        <color rgb="FF808080"/>
        <rFont val="Noto Sans CJK SC"/>
        <family val="2"/>
      </rPr>
      <t xml:space="preserve">。純為換算方便</t>
    </r>
  </si>
  <si>
    <r>
      <rPr>
        <sz val="11"/>
        <rFont val="Noto Sans CJK SC"/>
        <family val="2"/>
      </rPr>
      <t xml:space="preserve">借款期間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年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</si>
  <si>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年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直接年化利率比較</t>
    </r>
  </si>
  <si>
    <t xml:space="preserve">匯率情境設定</t>
  </si>
  <si>
    <r>
      <rPr>
        <sz val="11"/>
        <rFont val="Noto Sans CJK SC"/>
        <family val="2"/>
      </rPr>
      <t xml:space="preserve">情境貶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升值下限</t>
    </r>
  </si>
  <si>
    <r>
      <rPr>
        <i val="true"/>
        <sz val="9"/>
        <color rgb="FF808080"/>
        <rFont val="Noto Sans CJK SC"/>
        <family val="2"/>
      </rPr>
      <t xml:space="preserve">本幣相對外幣變動的最不利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最有利端</t>
    </r>
  </si>
  <si>
    <r>
      <rPr>
        <sz val="11"/>
        <rFont val="Noto Sans CJK SC"/>
        <family val="2"/>
      </rPr>
      <t xml:space="preserve">情境貶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升值上限</t>
    </r>
  </si>
  <si>
    <t xml:space="preserve">情境步長</t>
  </si>
  <si>
    <t xml:space="preserve">格點間距</t>
  </si>
  <si>
    <t xml:space="preserve">利率情境設定</t>
  </si>
  <si>
    <r>
      <rPr>
        <sz val="11"/>
        <rFont val="Noto Sans CJK SC"/>
        <family val="2"/>
      </rPr>
      <t xml:space="preserve">利率衝擊下限 </t>
    </r>
    <r>
      <rPr>
        <sz val="11"/>
        <rFont val="Arial"/>
        <family val="0"/>
        <charset val="1"/>
      </rPr>
      <t xml:space="preserve">(bps)</t>
    </r>
  </si>
  <si>
    <t xml:space="preserve">對兩邊利率同步施加的平行衝擊</t>
  </si>
  <si>
    <r>
      <rPr>
        <sz val="11"/>
        <rFont val="Noto Sans CJK SC"/>
        <family val="2"/>
      </rPr>
      <t xml:space="preserve">利率衝擊上限 </t>
    </r>
    <r>
      <rPr>
        <sz val="11"/>
        <rFont val="Arial"/>
        <family val="0"/>
        <charset val="1"/>
      </rPr>
      <t xml:space="preserve">(bps)</t>
    </r>
  </si>
  <si>
    <r>
      <rPr>
        <sz val="11"/>
        <rFont val="Noto Sans CJK SC"/>
        <family val="2"/>
      </rPr>
      <t xml:space="preserve">利率衝擊步長 </t>
    </r>
    <r>
      <rPr>
        <sz val="11"/>
        <rFont val="Arial"/>
        <family val="0"/>
        <charset val="1"/>
      </rPr>
      <t xml:space="preserve">(bps)</t>
    </r>
  </si>
  <si>
    <t xml:space="preserve">說明</t>
  </si>
  <si>
    <r>
      <rPr>
        <sz val="9"/>
        <rFont val="Noto Sans CJK SC"/>
        <family val="2"/>
      </rPr>
      <t xml:space="preserve">• 「考慮匯兌風險的借貸成本」</t>
    </r>
    <r>
      <rPr>
        <sz val="9"/>
        <rFont val="Arial"/>
        <family val="0"/>
        <charset val="1"/>
      </rPr>
      <t xml:space="preserve">= </t>
    </r>
    <r>
      <rPr>
        <sz val="9"/>
        <rFont val="Noto Sans CJK SC"/>
        <family val="2"/>
      </rPr>
      <t xml:space="preserve">名目利率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借款期間內本幣相對外幣的貶值</t>
    </r>
    <r>
      <rPr>
        <sz val="9"/>
        <rFont val="Arial"/>
        <family val="0"/>
        <charset val="1"/>
      </rPr>
      <t xml:space="preserve">(%)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</si>
  <si>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• 借外幣時，若本幣貶值，還款換算回本幣的成本上升 → 有效成本 </t>
    </r>
    <r>
      <rPr>
        <sz val="9"/>
        <rFont val="Arial"/>
        <family val="0"/>
        <charset val="1"/>
      </rPr>
      <t xml:space="preserve">= (1+</t>
    </r>
    <r>
      <rPr>
        <sz val="9"/>
        <rFont val="Noto Sans CJK SC"/>
        <family val="2"/>
      </rPr>
      <t xml:space="preserve">外幣利率</t>
    </r>
    <r>
      <rPr>
        <sz val="9"/>
        <rFont val="Arial"/>
        <family val="0"/>
        <charset val="1"/>
      </rPr>
      <t xml:space="preserve">)×(1+</t>
    </r>
    <r>
      <rPr>
        <sz val="9"/>
        <rFont val="Noto Sans CJK SC"/>
        <family val="2"/>
      </rPr>
      <t xml:space="preserve">外幣升值</t>
    </r>
    <r>
      <rPr>
        <sz val="9"/>
        <rFont val="Arial"/>
        <family val="0"/>
        <charset val="1"/>
      </rPr>
      <t xml:space="preserve">) − 1</t>
    </r>
    <r>
      <rPr>
        <sz val="9"/>
        <rFont val="Noto Sans CJK SC"/>
        <family val="2"/>
      </rPr>
      <t xml:space="preserve">。</t>
    </r>
  </si>
  <si>
    <r>
      <rPr>
        <sz val="9"/>
        <rFont val="Arial"/>
        <family val="0"/>
        <charset val="1"/>
      </rPr>
      <t xml:space="preserve">• FX</t>
    </r>
    <r>
      <rPr>
        <sz val="9"/>
        <rFont val="Noto Sans CJK SC"/>
        <family val="2"/>
      </rPr>
      <t xml:space="preserve">情境以「本幣相對外幣的變動」表示：正值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本幣升值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對借外幣者有利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，負值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本幣貶值。</t>
    </r>
  </si>
  <si>
    <r>
      <rPr>
        <sz val="9"/>
        <rFont val="Noto Sans CJK SC"/>
        <family val="2"/>
      </rPr>
      <t xml:space="preserve">• 兩張情境表分別以 </t>
    </r>
    <r>
      <rPr>
        <sz val="9"/>
        <rFont val="Arial"/>
        <family val="0"/>
        <charset val="1"/>
      </rPr>
      <t xml:space="preserve">SGD </t>
    </r>
    <r>
      <rPr>
        <sz val="9"/>
        <rFont val="Noto Sans CJK SC"/>
        <family val="2"/>
      </rPr>
      <t xml:space="preserve">與 </t>
    </r>
    <r>
      <rPr>
        <sz val="9"/>
        <rFont val="Arial"/>
        <family val="0"/>
        <charset val="1"/>
      </rPr>
      <t xml:space="preserve">USD </t>
    </r>
    <r>
      <rPr>
        <sz val="9"/>
        <rFont val="Noto Sans CJK SC"/>
        <family val="2"/>
      </rPr>
      <t xml:space="preserve">為記帳</t>
    </r>
    <r>
      <rPr>
        <sz val="9"/>
        <rFont val="Arial"/>
        <family val="0"/>
        <charset val="1"/>
      </rPr>
      <t xml:space="preserve">(home)</t>
    </r>
    <r>
      <rPr>
        <sz val="9"/>
        <rFont val="Noto Sans CJK SC"/>
        <family val="2"/>
      </rPr>
      <t xml:space="preserve">幣別，直接比較誰的全包成本較低。</t>
    </r>
  </si>
  <si>
    <r>
      <rPr>
        <b val="true"/>
        <sz val="13"/>
        <rFont val="Noto Sans CJK SC"/>
        <family val="2"/>
      </rPr>
      <t xml:space="preserve">情境表：以 </t>
    </r>
    <r>
      <rPr>
        <b val="true"/>
        <sz val="13"/>
        <rFont val="Arial"/>
        <family val="0"/>
        <charset val="1"/>
      </rPr>
      <t xml:space="preserve">SGD </t>
    </r>
    <r>
      <rPr>
        <b val="true"/>
        <sz val="13"/>
        <rFont val="Noto Sans CJK SC"/>
        <family val="2"/>
      </rPr>
      <t xml:space="preserve">記帳，借 </t>
    </r>
    <r>
      <rPr>
        <b val="true"/>
        <sz val="13"/>
        <rFont val="Arial"/>
        <family val="0"/>
        <charset val="1"/>
      </rPr>
      <t xml:space="preserve">USD vs </t>
    </r>
    <r>
      <rPr>
        <b val="true"/>
        <sz val="13"/>
        <rFont val="Noto Sans CJK SC"/>
        <family val="2"/>
      </rPr>
      <t xml:space="preserve">借 </t>
    </r>
    <r>
      <rPr>
        <b val="true"/>
        <sz val="13"/>
        <rFont val="Arial"/>
        <family val="0"/>
        <charset val="1"/>
      </rPr>
      <t xml:space="preserve">SGD </t>
    </r>
    <r>
      <rPr>
        <b val="true"/>
        <sz val="13"/>
        <rFont val="Noto Sans CJK SC"/>
        <family val="2"/>
      </rPr>
      <t xml:space="preserve">的全包成本</t>
    </r>
  </si>
  <si>
    <r>
      <rPr>
        <i val="true"/>
        <sz val="9"/>
        <color rgb="FF808080"/>
        <rFont val="Noto Sans CJK SC"/>
        <family val="2"/>
      </rPr>
      <t xml:space="preserve">情境：借</t>
    </r>
    <r>
      <rPr>
        <i val="true"/>
        <sz val="9"/>
        <color rgb="FF808080"/>
        <rFont val="Arial"/>
        <family val="0"/>
        <charset val="1"/>
      </rPr>
      <t xml:space="preserve">USD</t>
    </r>
    <r>
      <rPr>
        <i val="true"/>
        <sz val="9"/>
        <color rgb="FF808080"/>
        <rFont val="Noto Sans CJK SC"/>
        <family val="2"/>
      </rPr>
      <t xml:space="preserve">、以</t>
    </r>
    <r>
      <rPr>
        <i val="true"/>
        <sz val="9"/>
        <color rgb="FF808080"/>
        <rFont val="Arial"/>
        <family val="0"/>
        <charset val="1"/>
      </rPr>
      <t xml:space="preserve">SGD</t>
    </r>
    <r>
      <rPr>
        <i val="true"/>
        <sz val="9"/>
        <color rgb="FF808080"/>
        <rFont val="Noto Sans CJK SC"/>
        <family val="2"/>
      </rPr>
      <t xml:space="preserve">衡量成本。若</t>
    </r>
    <r>
      <rPr>
        <i val="true"/>
        <sz val="9"/>
        <color rgb="FF808080"/>
        <rFont val="Arial"/>
        <family val="0"/>
        <charset val="1"/>
      </rPr>
      <t xml:space="preserve">SGD</t>
    </r>
    <r>
      <rPr>
        <i val="true"/>
        <sz val="9"/>
        <color rgb="FF808080"/>
        <rFont val="Noto Sans CJK SC"/>
        <family val="2"/>
      </rPr>
      <t xml:space="preserve">貶值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列為負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USD</t>
    </r>
    <r>
      <rPr>
        <i val="true"/>
        <sz val="9"/>
        <color rgb="FF808080"/>
        <rFont val="Noto Sans CJK SC"/>
        <family val="2"/>
      </rPr>
      <t xml:space="preserve">債務換回</t>
    </r>
    <r>
      <rPr>
        <i val="true"/>
        <sz val="9"/>
        <color rgb="FF808080"/>
        <rFont val="Arial"/>
        <family val="0"/>
        <charset val="1"/>
      </rPr>
      <t xml:space="preserve">SGD</t>
    </r>
    <r>
      <rPr>
        <i val="true"/>
        <sz val="9"/>
        <color rgb="FF808080"/>
        <rFont val="Noto Sans CJK SC"/>
        <family val="2"/>
      </rPr>
      <t xml:space="preserve">變貴。</t>
    </r>
  </si>
  <si>
    <r>
      <rPr>
        <sz val="11"/>
        <rFont val="Noto Sans CJK SC"/>
        <family val="2"/>
      </rPr>
      <t xml:space="preserve">借 </t>
    </r>
    <r>
      <rPr>
        <sz val="11"/>
        <rFont val="Arial"/>
        <family val="0"/>
        <charset val="1"/>
      </rPr>
      <t xml:space="preserve">SGD </t>
    </r>
    <r>
      <rPr>
        <sz val="11"/>
        <rFont val="Noto Sans CJK SC"/>
        <family val="2"/>
      </rPr>
      <t xml:space="preserve">名目利率</t>
    </r>
  </si>
  <si>
    <r>
      <rPr>
        <sz val="11"/>
        <rFont val="Noto Sans CJK SC"/>
        <family val="2"/>
      </rPr>
      <t xml:space="preserve">借 </t>
    </r>
    <r>
      <rPr>
        <sz val="11"/>
        <rFont val="Arial"/>
        <family val="0"/>
        <charset val="1"/>
      </rPr>
      <t xml:space="preserve">USD </t>
    </r>
    <r>
      <rPr>
        <sz val="11"/>
        <rFont val="Noto Sans CJK SC"/>
        <family val="2"/>
      </rPr>
      <t xml:space="preserve">名目利率</t>
    </r>
  </si>
  <si>
    <r>
      <rPr>
        <b val="true"/>
        <sz val="11"/>
        <rFont val="Noto Sans CJK SC"/>
        <family val="2"/>
      </rPr>
      <t xml:space="preserve">借 </t>
    </r>
    <r>
      <rPr>
        <b val="true"/>
        <sz val="11"/>
        <rFont val="Arial"/>
        <family val="0"/>
        <charset val="1"/>
      </rPr>
      <t xml:space="preserve">SGD </t>
    </r>
    <r>
      <rPr>
        <b val="true"/>
        <sz val="11"/>
        <rFont val="Noto Sans CJK SC"/>
        <family val="2"/>
      </rPr>
      <t xml:space="preserve">的全包成本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無匯兌風險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</si>
  <si>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借 </t>
    </r>
    <r>
      <rPr>
        <b val="true"/>
        <sz val="11"/>
        <rFont val="Arial"/>
        <family val="0"/>
        <charset val="1"/>
      </rPr>
      <t xml:space="preserve">USD </t>
    </r>
    <r>
      <rPr>
        <b val="true"/>
        <sz val="11"/>
        <rFont val="Noto Sans CJK SC"/>
        <family val="2"/>
      </rPr>
      <t xml:space="preserve">的全包成本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含匯兌，以 </t>
    </r>
    <r>
      <rPr>
        <b val="true"/>
        <sz val="11"/>
        <rFont val="Arial"/>
        <family val="0"/>
        <charset val="1"/>
      </rPr>
      <t xml:space="preserve">SGD </t>
    </r>
    <r>
      <rPr>
        <b val="true"/>
        <sz val="11"/>
        <rFont val="Noto Sans CJK SC"/>
        <family val="2"/>
      </rPr>
      <t xml:space="preserve">衡量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</si>
  <si>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列 </t>
    </r>
    <r>
      <rPr>
        <i val="true"/>
        <sz val="9"/>
        <rFont val="Arial"/>
        <family val="0"/>
        <charset val="1"/>
      </rPr>
      <t xml:space="preserve">= SGD </t>
    </r>
    <r>
      <rPr>
        <i val="true"/>
        <sz val="9"/>
        <rFont val="Noto Sans CJK SC"/>
        <family val="2"/>
      </rPr>
      <t xml:space="preserve">相對 </t>
    </r>
    <r>
      <rPr>
        <i val="true"/>
        <sz val="9"/>
        <rFont val="Arial"/>
        <family val="0"/>
        <charset val="1"/>
      </rPr>
      <t xml:space="preserve">USD </t>
    </r>
    <r>
      <rPr>
        <i val="true"/>
        <sz val="9"/>
        <rFont val="Noto Sans CJK SC"/>
        <family val="2"/>
      </rPr>
      <t xml:space="preserve">的變動 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正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升值</t>
    </r>
    <r>
      <rPr>
        <i val="true"/>
        <sz val="9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</si>
  <si>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SGD </t>
    </r>
    <r>
      <rPr>
        <b val="true"/>
        <sz val="11"/>
        <color rgb="FFFFFFFF"/>
        <rFont val="Noto Sans CJK SC"/>
        <family val="2"/>
      </rPr>
      <t xml:space="preserve">變動</t>
    </r>
  </si>
  <si>
    <r>
      <rPr>
        <b val="true"/>
        <sz val="11"/>
        <color rgb="FFFFFFFF"/>
        <rFont val="Noto Sans CJK SC"/>
        <family val="2"/>
      </rPr>
      <t xml:space="preserve">借</t>
    </r>
    <r>
      <rPr>
        <b val="true"/>
        <sz val="11"/>
        <color rgb="FFFFFFFF"/>
        <rFont val="Arial"/>
        <family val="0"/>
        <charset val="1"/>
      </rPr>
      <t xml:space="preserve">USD</t>
    </r>
    <r>
      <rPr>
        <b val="true"/>
        <sz val="11"/>
        <color rgb="FFFFFFFF"/>
        <rFont val="Noto Sans CJK SC"/>
        <family val="2"/>
      </rPr>
      <t xml:space="preserve">全包成本</t>
    </r>
  </si>
  <si>
    <r>
      <rPr>
        <b val="true"/>
        <sz val="11"/>
        <color rgb="FFFFFFFF"/>
        <rFont val="Noto Sans CJK SC"/>
        <family val="2"/>
      </rPr>
      <t xml:space="preserve">借</t>
    </r>
    <r>
      <rPr>
        <b val="true"/>
        <sz val="11"/>
        <color rgb="FFFFFFFF"/>
        <rFont val="Arial"/>
        <family val="0"/>
        <charset val="1"/>
      </rPr>
      <t xml:space="preserve">SGD</t>
    </r>
    <r>
      <rPr>
        <b val="true"/>
        <sz val="11"/>
        <color rgb="FFFFFFFF"/>
        <rFont val="Noto Sans CJK SC"/>
        <family val="2"/>
      </rPr>
      <t xml:space="preserve">成本</t>
    </r>
  </si>
  <si>
    <r>
      <rPr>
        <b val="true"/>
        <sz val="11"/>
        <color rgb="FFFFFFFF"/>
        <rFont val="Noto Sans CJK SC"/>
        <family val="2"/>
      </rPr>
      <t xml:space="preserve">成本差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借外幣−借本幣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</si>
  <si>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較優選擇</t>
  </si>
  <si>
    <r>
      <rPr>
        <b val="true"/>
        <sz val="10"/>
        <rFont val="Noto Sans CJK SC"/>
        <family val="2"/>
      </rPr>
      <t xml:space="preserve">損益兩平 </t>
    </r>
    <r>
      <rPr>
        <b val="true"/>
        <sz val="10"/>
        <rFont val="Arial"/>
        <family val="0"/>
        <charset val="1"/>
      </rPr>
      <t xml:space="preserve">FX </t>
    </r>
    <r>
      <rPr>
        <b val="true"/>
        <sz val="10"/>
        <rFont val="Noto Sans CJK SC"/>
        <family val="2"/>
      </rPr>
      <t xml:space="preserve">變動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借外幣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借本幣時的本幣升貶</t>
    </r>
    <r>
      <rPr>
        <b val="true"/>
        <sz val="10"/>
        <rFont val="Arial"/>
        <family val="0"/>
        <charset val="1"/>
      </rPr>
      <t xml:space="preserve">):</t>
    </r>
  </si>
  <si>
    <r>
      <rPr>
        <i val="true"/>
        <sz val="9"/>
        <color rgb="FF808080"/>
        <rFont val="Noto Sans CJK SC"/>
        <family val="2"/>
      </rPr>
      <t xml:space="preserve">→ 若 </t>
    </r>
    <r>
      <rPr>
        <i val="true"/>
        <sz val="9"/>
        <color rgb="FF808080"/>
        <rFont val="Arial"/>
        <family val="0"/>
        <charset val="1"/>
      </rPr>
      <t xml:space="preserve">SGD </t>
    </r>
    <r>
      <rPr>
        <i val="true"/>
        <sz val="9"/>
        <color rgb="FF808080"/>
        <rFont val="Noto Sans CJK SC"/>
        <family val="2"/>
      </rPr>
      <t xml:space="preserve">貶值超過此幅度，借 </t>
    </r>
    <r>
      <rPr>
        <i val="true"/>
        <sz val="9"/>
        <color rgb="FF808080"/>
        <rFont val="Arial"/>
        <family val="0"/>
        <charset val="1"/>
      </rPr>
      <t xml:space="preserve">USD </t>
    </r>
    <r>
      <rPr>
        <i val="true"/>
        <sz val="9"/>
        <color rgb="FF808080"/>
        <rFont val="Noto Sans CJK SC"/>
        <family val="2"/>
      </rPr>
      <t xml:space="preserve">反而較貴。</t>
    </r>
  </si>
  <si>
    <r>
      <rPr>
        <b val="true"/>
        <sz val="13"/>
        <rFont val="Noto Sans CJK SC"/>
        <family val="2"/>
      </rPr>
      <t xml:space="preserve">情境表：以 </t>
    </r>
    <r>
      <rPr>
        <b val="true"/>
        <sz val="13"/>
        <rFont val="Arial"/>
        <family val="0"/>
        <charset val="1"/>
      </rPr>
      <t xml:space="preserve">USD </t>
    </r>
    <r>
      <rPr>
        <b val="true"/>
        <sz val="13"/>
        <rFont val="Noto Sans CJK SC"/>
        <family val="2"/>
      </rPr>
      <t xml:space="preserve">記帳，借 </t>
    </r>
    <r>
      <rPr>
        <b val="true"/>
        <sz val="13"/>
        <rFont val="Arial"/>
        <family val="0"/>
        <charset val="1"/>
      </rPr>
      <t xml:space="preserve">SGD vs </t>
    </r>
    <r>
      <rPr>
        <b val="true"/>
        <sz val="13"/>
        <rFont val="Noto Sans CJK SC"/>
        <family val="2"/>
      </rPr>
      <t xml:space="preserve">借 </t>
    </r>
    <r>
      <rPr>
        <b val="true"/>
        <sz val="13"/>
        <rFont val="Arial"/>
        <family val="0"/>
        <charset val="1"/>
      </rPr>
      <t xml:space="preserve">USD </t>
    </r>
    <r>
      <rPr>
        <b val="true"/>
        <sz val="13"/>
        <rFont val="Noto Sans CJK SC"/>
        <family val="2"/>
      </rPr>
      <t xml:space="preserve">的全包成本</t>
    </r>
  </si>
  <si>
    <r>
      <rPr>
        <i val="true"/>
        <sz val="9"/>
        <color rgb="FF808080"/>
        <rFont val="Noto Sans CJK SC"/>
        <family val="2"/>
      </rPr>
      <t xml:space="preserve">情境：借</t>
    </r>
    <r>
      <rPr>
        <i val="true"/>
        <sz val="9"/>
        <color rgb="FF808080"/>
        <rFont val="Arial"/>
        <family val="0"/>
        <charset val="1"/>
      </rPr>
      <t xml:space="preserve">SGD</t>
    </r>
    <r>
      <rPr>
        <i val="true"/>
        <sz val="9"/>
        <color rgb="FF808080"/>
        <rFont val="Noto Sans CJK SC"/>
        <family val="2"/>
      </rPr>
      <t xml:space="preserve">、以</t>
    </r>
    <r>
      <rPr>
        <i val="true"/>
        <sz val="9"/>
        <color rgb="FF808080"/>
        <rFont val="Arial"/>
        <family val="0"/>
        <charset val="1"/>
      </rPr>
      <t xml:space="preserve">USD</t>
    </r>
    <r>
      <rPr>
        <i val="true"/>
        <sz val="9"/>
        <color rgb="FF808080"/>
        <rFont val="Noto Sans CJK SC"/>
        <family val="2"/>
      </rPr>
      <t xml:space="preserve">衡量成本。若</t>
    </r>
    <r>
      <rPr>
        <i val="true"/>
        <sz val="9"/>
        <color rgb="FF808080"/>
        <rFont val="Arial"/>
        <family val="0"/>
        <charset val="1"/>
      </rPr>
      <t xml:space="preserve">USD</t>
    </r>
    <r>
      <rPr>
        <i val="true"/>
        <sz val="9"/>
        <color rgb="FF808080"/>
        <rFont val="Noto Sans CJK SC"/>
        <family val="2"/>
      </rPr>
      <t xml:space="preserve">貶值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列為負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SGD</t>
    </r>
    <r>
      <rPr>
        <i val="true"/>
        <sz val="9"/>
        <color rgb="FF808080"/>
        <rFont val="Noto Sans CJK SC"/>
        <family val="2"/>
      </rPr>
      <t xml:space="preserve">債務換回</t>
    </r>
    <r>
      <rPr>
        <i val="true"/>
        <sz val="9"/>
        <color rgb="FF808080"/>
        <rFont val="Arial"/>
        <family val="0"/>
        <charset val="1"/>
      </rPr>
      <t xml:space="preserve">USD</t>
    </r>
    <r>
      <rPr>
        <i val="true"/>
        <sz val="9"/>
        <color rgb="FF808080"/>
        <rFont val="Noto Sans CJK SC"/>
        <family val="2"/>
      </rPr>
      <t xml:space="preserve">變貴。</t>
    </r>
  </si>
  <si>
    <r>
      <rPr>
        <b val="true"/>
        <sz val="11"/>
        <rFont val="Noto Sans CJK SC"/>
        <family val="2"/>
      </rPr>
      <t xml:space="preserve">借 </t>
    </r>
    <r>
      <rPr>
        <b val="true"/>
        <sz val="11"/>
        <rFont val="Arial"/>
        <family val="0"/>
        <charset val="1"/>
      </rPr>
      <t xml:space="preserve">USD </t>
    </r>
    <r>
      <rPr>
        <b val="true"/>
        <sz val="11"/>
        <rFont val="Noto Sans CJK SC"/>
        <family val="2"/>
      </rPr>
      <t xml:space="preserve">的全包成本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無匯兌風險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</si>
  <si>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借 </t>
    </r>
    <r>
      <rPr>
        <b val="true"/>
        <sz val="11"/>
        <rFont val="Arial"/>
        <family val="0"/>
        <charset val="1"/>
      </rPr>
      <t xml:space="preserve">SGD </t>
    </r>
    <r>
      <rPr>
        <b val="true"/>
        <sz val="11"/>
        <rFont val="Noto Sans CJK SC"/>
        <family val="2"/>
      </rPr>
      <t xml:space="preserve">的全包成本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含匯兌，以 </t>
    </r>
    <r>
      <rPr>
        <b val="true"/>
        <sz val="11"/>
        <rFont val="Arial"/>
        <family val="0"/>
        <charset val="1"/>
      </rPr>
      <t xml:space="preserve">USD </t>
    </r>
    <r>
      <rPr>
        <b val="true"/>
        <sz val="11"/>
        <rFont val="Noto Sans CJK SC"/>
        <family val="2"/>
      </rPr>
      <t xml:space="preserve">衡量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</si>
  <si>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列 </t>
    </r>
    <r>
      <rPr>
        <i val="true"/>
        <sz val="9"/>
        <rFont val="Arial"/>
        <family val="0"/>
        <charset val="1"/>
      </rPr>
      <t xml:space="preserve">= USD </t>
    </r>
    <r>
      <rPr>
        <i val="true"/>
        <sz val="9"/>
        <rFont val="Noto Sans CJK SC"/>
        <family val="2"/>
      </rPr>
      <t xml:space="preserve">相對 </t>
    </r>
    <r>
      <rPr>
        <i val="true"/>
        <sz val="9"/>
        <rFont val="Arial"/>
        <family val="0"/>
        <charset val="1"/>
      </rPr>
      <t xml:space="preserve">SGD </t>
    </r>
    <r>
      <rPr>
        <i val="true"/>
        <sz val="9"/>
        <rFont val="Noto Sans CJK SC"/>
        <family val="2"/>
      </rPr>
      <t xml:space="preserve">的變動 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正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升值</t>
    </r>
    <r>
      <rPr>
        <i val="true"/>
        <sz val="9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</si>
  <si>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USD </t>
    </r>
    <r>
      <rPr>
        <b val="true"/>
        <sz val="11"/>
        <color rgb="FFFFFFFF"/>
        <rFont val="Noto Sans CJK SC"/>
        <family val="2"/>
      </rPr>
      <t xml:space="preserve">變動</t>
    </r>
  </si>
  <si>
    <r>
      <rPr>
        <b val="true"/>
        <sz val="11"/>
        <color rgb="FFFFFFFF"/>
        <rFont val="Noto Sans CJK SC"/>
        <family val="2"/>
      </rPr>
      <t xml:space="preserve">借</t>
    </r>
    <r>
      <rPr>
        <b val="true"/>
        <sz val="11"/>
        <color rgb="FFFFFFFF"/>
        <rFont val="Arial"/>
        <family val="0"/>
        <charset val="1"/>
      </rPr>
      <t xml:space="preserve">SGD</t>
    </r>
    <r>
      <rPr>
        <b val="true"/>
        <sz val="11"/>
        <color rgb="FFFFFFFF"/>
        <rFont val="Noto Sans CJK SC"/>
        <family val="2"/>
      </rPr>
      <t xml:space="preserve">全包成本</t>
    </r>
  </si>
  <si>
    <r>
      <rPr>
        <b val="true"/>
        <sz val="11"/>
        <color rgb="FFFFFFFF"/>
        <rFont val="Noto Sans CJK SC"/>
        <family val="2"/>
      </rPr>
      <t xml:space="preserve">借</t>
    </r>
    <r>
      <rPr>
        <b val="true"/>
        <sz val="11"/>
        <color rgb="FFFFFFFF"/>
        <rFont val="Arial"/>
        <family val="0"/>
        <charset val="1"/>
      </rPr>
      <t xml:space="preserve">USD</t>
    </r>
    <r>
      <rPr>
        <b val="true"/>
        <sz val="11"/>
        <color rgb="FFFFFFFF"/>
        <rFont val="Noto Sans CJK SC"/>
        <family val="2"/>
      </rPr>
      <t xml:space="preserve">成本</t>
    </r>
  </si>
  <si>
    <r>
      <rPr>
        <i val="true"/>
        <sz val="9"/>
        <color rgb="FF808080"/>
        <rFont val="Noto Sans CJK SC"/>
        <family val="2"/>
      </rPr>
      <t xml:space="preserve">→ 若 </t>
    </r>
    <r>
      <rPr>
        <i val="true"/>
        <sz val="9"/>
        <color rgb="FF808080"/>
        <rFont val="Arial"/>
        <family val="0"/>
        <charset val="1"/>
      </rPr>
      <t xml:space="preserve">USD </t>
    </r>
    <r>
      <rPr>
        <i val="true"/>
        <sz val="9"/>
        <color rgb="FF808080"/>
        <rFont val="Noto Sans CJK SC"/>
        <family val="2"/>
      </rPr>
      <t xml:space="preserve">貶值超過此幅度，借 </t>
    </r>
    <r>
      <rPr>
        <i val="true"/>
        <sz val="9"/>
        <color rgb="FF808080"/>
        <rFont val="Arial"/>
        <family val="0"/>
        <charset val="1"/>
      </rPr>
      <t xml:space="preserve">SGD </t>
    </r>
    <r>
      <rPr>
        <i val="true"/>
        <sz val="9"/>
        <color rgb="FF808080"/>
        <rFont val="Noto Sans CJK SC"/>
        <family val="2"/>
      </rPr>
      <t xml:space="preserve">反而較貴。</t>
    </r>
  </si>
  <si>
    <r>
      <rPr>
        <b val="true"/>
        <sz val="13"/>
        <rFont val="Noto Sans CJK SC"/>
        <family val="2"/>
      </rPr>
      <t xml:space="preserve">二維敏感度：借 </t>
    </r>
    <r>
      <rPr>
        <b val="true"/>
        <sz val="13"/>
        <rFont val="Arial"/>
        <family val="0"/>
        <charset val="1"/>
      </rPr>
      <t xml:space="preserve">USD </t>
    </r>
    <r>
      <rPr>
        <b val="true"/>
        <sz val="13"/>
        <rFont val="Noto Sans CJK SC"/>
        <family val="2"/>
      </rPr>
      <t xml:space="preserve">全包成本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以 </t>
    </r>
    <r>
      <rPr>
        <b val="true"/>
        <sz val="13"/>
        <rFont val="Arial"/>
        <family val="0"/>
        <charset val="1"/>
      </rPr>
      <t xml:space="preserve">SGD </t>
    </r>
    <r>
      <rPr>
        <b val="true"/>
        <sz val="13"/>
        <rFont val="Noto Sans CJK SC"/>
        <family val="2"/>
      </rPr>
      <t xml:space="preserve">衡量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</si>
  <si>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列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利率平行衝擊 </t>
    </r>
    <r>
      <rPr>
        <i val="true"/>
        <sz val="9"/>
        <color rgb="FF808080"/>
        <rFont val="Arial"/>
        <family val="0"/>
        <charset val="1"/>
      </rPr>
      <t xml:space="preserve">(bps</t>
    </r>
    <r>
      <rPr>
        <i val="true"/>
        <sz val="9"/>
        <color rgb="FF808080"/>
        <rFont val="Noto Sans CJK SC"/>
        <family val="2"/>
      </rPr>
      <t xml:space="preserve">，兩邊同步</t>
    </r>
    <r>
      <rPr>
        <i val="true"/>
        <sz val="9"/>
        <color rgb="FF808080"/>
        <rFont val="Arial"/>
        <family val="0"/>
        <charset val="1"/>
      </rPr>
      <t xml:space="preserve">) ; </t>
    </r>
    <r>
      <rPr>
        <i val="true"/>
        <sz val="9"/>
        <color rgb="FF808080"/>
        <rFont val="Noto Sans CJK SC"/>
        <family val="2"/>
      </rPr>
      <t xml:space="preserve">欄 </t>
    </r>
    <r>
      <rPr>
        <i val="true"/>
        <sz val="9"/>
        <color rgb="FF808080"/>
        <rFont val="Arial"/>
        <family val="0"/>
        <charset val="1"/>
      </rPr>
      <t xml:space="preserve">= SGD </t>
    </r>
    <r>
      <rPr>
        <i val="true"/>
        <sz val="9"/>
        <color rgb="FF808080"/>
        <rFont val="Noto Sans CJK SC"/>
        <family val="2"/>
      </rPr>
      <t xml:space="preserve">相對 </t>
    </r>
    <r>
      <rPr>
        <i val="true"/>
        <sz val="9"/>
        <color rgb="FF808080"/>
        <rFont val="Arial"/>
        <family val="0"/>
        <charset val="1"/>
      </rPr>
      <t xml:space="preserve">USD </t>
    </r>
    <r>
      <rPr>
        <i val="true"/>
        <sz val="9"/>
        <color rgb="FF808080"/>
        <rFont val="Noto Sans CJK SC"/>
        <family val="2"/>
      </rPr>
      <t xml:space="preserve">變動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正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升值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</si>
  <si>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USD</t>
    </r>
    <r>
      <rPr>
        <b val="true"/>
        <sz val="11"/>
        <color rgb="FFFFFFFF"/>
        <rFont val="Noto Sans CJK SC"/>
        <family val="2"/>
      </rPr>
      <t xml:space="preserve">利率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衝擊 </t>
    </r>
    <r>
      <rPr>
        <b val="true"/>
        <sz val="11"/>
        <color rgb="FFFFFFFF"/>
        <rFont val="Arial"/>
        <family val="0"/>
        <charset val="1"/>
      </rPr>
      <t xml:space="preserve">\ SGD</t>
    </r>
    <r>
      <rPr>
        <b val="true"/>
        <sz val="11"/>
        <color rgb="FFFFFFFF"/>
        <rFont val="Noto Sans CJK SC"/>
        <family val="2"/>
      </rPr>
      <t xml:space="preserve">變動</t>
    </r>
  </si>
  <si>
    <r>
      <rPr>
        <b val="true"/>
        <sz val="11"/>
        <rFont val="Noto Sans CJK SC"/>
        <family val="2"/>
      </rPr>
      <t xml:space="preserve">對照：借</t>
    </r>
    <r>
      <rPr>
        <b val="true"/>
        <sz val="11"/>
        <rFont val="Arial"/>
        <family val="0"/>
        <charset val="1"/>
      </rPr>
      <t xml:space="preserve">SGD</t>
    </r>
    <r>
      <rPr>
        <b val="true"/>
        <sz val="11"/>
        <rFont val="Noto Sans CJK SC"/>
        <family val="2"/>
      </rPr>
      <t xml:space="preserve">全包成本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基準利率，隨衝擊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</si>
  <si>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借</t>
    </r>
    <r>
      <rPr>
        <i val="true"/>
        <sz val="9"/>
        <color rgb="FF808080"/>
        <rFont val="Arial"/>
        <family val="0"/>
        <charset val="1"/>
      </rPr>
      <t xml:space="preserve">SGD</t>
    </r>
    <r>
      <rPr>
        <i val="true"/>
        <sz val="9"/>
        <color rgb="FF808080"/>
        <rFont val="Noto Sans CJK SC"/>
        <family val="2"/>
      </rPr>
      <t xml:space="preserve">成本 </t>
    </r>
    <r>
      <rPr>
        <i val="true"/>
        <sz val="9"/>
        <color rgb="FF808080"/>
        <rFont val="Arial"/>
        <family val="0"/>
        <charset val="1"/>
      </rPr>
      <t xml:space="preserve">= SGD</t>
    </r>
    <r>
      <rPr>
        <i val="true"/>
        <sz val="9"/>
        <color rgb="FF808080"/>
        <rFont val="Noto Sans CJK SC"/>
        <family val="2"/>
      </rPr>
      <t xml:space="preserve">利率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</rPr>
      <t xml:space="preserve">同步衝擊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無匯兌風險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</si>
  <si>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二維敏感度：借 </t>
    </r>
    <r>
      <rPr>
        <b val="true"/>
        <sz val="13"/>
        <rFont val="Arial"/>
        <family val="0"/>
        <charset val="1"/>
      </rPr>
      <t xml:space="preserve">SGD </t>
    </r>
    <r>
      <rPr>
        <b val="true"/>
        <sz val="13"/>
        <rFont val="Noto Sans CJK SC"/>
        <family val="2"/>
      </rPr>
      <t xml:space="preserve">全包成本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以 </t>
    </r>
    <r>
      <rPr>
        <b val="true"/>
        <sz val="13"/>
        <rFont val="Arial"/>
        <family val="0"/>
        <charset val="1"/>
      </rPr>
      <t xml:space="preserve">USD </t>
    </r>
    <r>
      <rPr>
        <b val="true"/>
        <sz val="13"/>
        <rFont val="Noto Sans CJK SC"/>
        <family val="2"/>
      </rPr>
      <t xml:space="preserve">衡量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</si>
  <si>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列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利率平行衝擊 </t>
    </r>
    <r>
      <rPr>
        <i val="true"/>
        <sz val="9"/>
        <color rgb="FF808080"/>
        <rFont val="Arial"/>
        <family val="0"/>
        <charset val="1"/>
      </rPr>
      <t xml:space="preserve">(bps</t>
    </r>
    <r>
      <rPr>
        <i val="true"/>
        <sz val="9"/>
        <color rgb="FF808080"/>
        <rFont val="Noto Sans CJK SC"/>
        <family val="2"/>
      </rPr>
      <t xml:space="preserve">，兩邊同步</t>
    </r>
    <r>
      <rPr>
        <i val="true"/>
        <sz val="9"/>
        <color rgb="FF808080"/>
        <rFont val="Arial"/>
        <family val="0"/>
        <charset val="1"/>
      </rPr>
      <t xml:space="preserve">) ; </t>
    </r>
    <r>
      <rPr>
        <i val="true"/>
        <sz val="9"/>
        <color rgb="FF808080"/>
        <rFont val="Noto Sans CJK SC"/>
        <family val="2"/>
      </rPr>
      <t xml:space="preserve">欄 </t>
    </r>
    <r>
      <rPr>
        <i val="true"/>
        <sz val="9"/>
        <color rgb="FF808080"/>
        <rFont val="Arial"/>
        <family val="0"/>
        <charset val="1"/>
      </rPr>
      <t xml:space="preserve">= USD </t>
    </r>
    <r>
      <rPr>
        <i val="true"/>
        <sz val="9"/>
        <color rgb="FF808080"/>
        <rFont val="Noto Sans CJK SC"/>
        <family val="2"/>
      </rPr>
      <t xml:space="preserve">相對 </t>
    </r>
    <r>
      <rPr>
        <i val="true"/>
        <sz val="9"/>
        <color rgb="FF808080"/>
        <rFont val="Arial"/>
        <family val="0"/>
        <charset val="1"/>
      </rPr>
      <t xml:space="preserve">SGD </t>
    </r>
    <r>
      <rPr>
        <i val="true"/>
        <sz val="9"/>
        <color rgb="FF808080"/>
        <rFont val="Noto Sans CJK SC"/>
        <family val="2"/>
      </rPr>
      <t xml:space="preserve">變動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正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升值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</si>
  <si>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SGD</t>
    </r>
    <r>
      <rPr>
        <b val="true"/>
        <sz val="11"/>
        <color rgb="FFFFFFFF"/>
        <rFont val="Noto Sans CJK SC"/>
        <family val="2"/>
      </rPr>
      <t xml:space="preserve">利率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衝擊 </t>
    </r>
    <r>
      <rPr>
        <b val="true"/>
        <sz val="11"/>
        <color rgb="FFFFFFFF"/>
        <rFont val="Arial"/>
        <family val="0"/>
        <charset val="1"/>
      </rPr>
      <t xml:space="preserve">\ USD</t>
    </r>
    <r>
      <rPr>
        <b val="true"/>
        <sz val="11"/>
        <color rgb="FFFFFFFF"/>
        <rFont val="Noto Sans CJK SC"/>
        <family val="2"/>
      </rPr>
      <t xml:space="preserve">變動</t>
    </r>
  </si>
  <si>
    <r>
      <rPr>
        <b val="true"/>
        <sz val="11"/>
        <rFont val="Noto Sans CJK SC"/>
        <family val="2"/>
      </rPr>
      <t xml:space="preserve">對照：借</t>
    </r>
    <r>
      <rPr>
        <b val="true"/>
        <sz val="11"/>
        <rFont val="Arial"/>
        <family val="0"/>
        <charset val="1"/>
      </rPr>
      <t xml:space="preserve">USD</t>
    </r>
    <r>
      <rPr>
        <b val="true"/>
        <sz val="11"/>
        <rFont val="Noto Sans CJK SC"/>
        <family val="2"/>
      </rPr>
      <t xml:space="preserve">全包成本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基準利率，隨衝擊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</si>
  <si>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借</t>
    </r>
    <r>
      <rPr>
        <i val="true"/>
        <sz val="9"/>
        <color rgb="FF808080"/>
        <rFont val="Arial"/>
        <family val="0"/>
        <charset val="1"/>
      </rPr>
      <t xml:space="preserve">USD</t>
    </r>
    <r>
      <rPr>
        <i val="true"/>
        <sz val="9"/>
        <color rgb="FF808080"/>
        <rFont val="Noto Sans CJK SC"/>
        <family val="2"/>
      </rPr>
      <t xml:space="preserve">成本 </t>
    </r>
    <r>
      <rPr>
        <i val="true"/>
        <sz val="9"/>
        <color rgb="FF808080"/>
        <rFont val="Arial"/>
        <family val="0"/>
        <charset val="1"/>
      </rPr>
      <t xml:space="preserve">= USD</t>
    </r>
    <r>
      <rPr>
        <i val="true"/>
        <sz val="9"/>
        <color rgb="FF808080"/>
        <rFont val="Noto Sans CJK SC"/>
        <family val="2"/>
      </rPr>
      <t xml:space="preserve">利率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</rPr>
      <t xml:space="preserve">同步衝擊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無匯兌風險</t>
    </r>
    <r>
      <rPr>
        <i val="true"/>
        <sz val="9"/>
        <color rgb="FF80808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</si>
</sst>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"/>
    <numFmt numFmtId="167" formatCode="0.0000"/>
    <numFmt numFmtId="168" formatCode="\$#,##0"/>
    <numFmt numFmtId="169" formatCode="0.0"/>
    <numFmt numFmtId="170" formatCode="0.0%;[RED]\(0.0%\)"/>
    <numFmt numFmtId="171" formatCode="\+0&quot; bps&quot;;\-0&quot; bps&quot;;0&quot; bps&quot;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0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44"/>
  </cols>
  <sheetData>
    <row r="2" customFormat="false" ht="21.6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/>
      <c r="D4" s="3"/>
    </row>
    <row r="5" customFormat="false" ht="17.15" hidden="false" customHeight="false" outlineLevel="0" collapsed="false">
      <c r="B5" s="4" t="s">
        <v>2</v>
      </c>
      <c r="C5" s="5" t="n">
        <v>0.045</v>
      </c>
      <c r="D5" s="6" t="s">
        <v>3</v>
      </c>
    </row>
    <row r="6" customFormat="false" ht="17.15" hidden="false" customHeight="false" outlineLevel="0" collapsed="false">
      <c r="B6" s="4" t="s">
        <v>4</v>
      </c>
      <c r="C6" s="7" t="n">
        <f aca="false">C5-C7/10000</f>
        <v>0.02</v>
      </c>
      <c r="D6" s="6" t="s">
        <v>5</v>
      </c>
    </row>
    <row r="7" customFormat="false" ht="17.15" hidden="false" customHeight="false" outlineLevel="0" collapsed="false">
      <c r="B7" s="8" t="s">
        <v>6</v>
      </c>
      <c r="C7" s="9" t="n">
        <v>250</v>
      </c>
      <c r="D7" s="6" t="s">
        <v>7</v>
      </c>
    </row>
    <row r="8" customFormat="false" ht="17.15" hidden="false" customHeight="false" outlineLevel="0" collapsed="false">
      <c r="B8" s="4" t="s">
        <v>8</v>
      </c>
      <c r="C8" s="10" t="n">
        <v>0.775</v>
      </c>
      <c r="D8" s="11" t="s">
        <v>9</v>
      </c>
    </row>
    <row r="9" customFormat="false" ht="17.15" hidden="false" customHeight="false" outlineLevel="0" collapsed="false">
      <c r="B9" s="8" t="s">
        <v>10</v>
      </c>
      <c r="C9" s="12" t="n">
        <v>100</v>
      </c>
      <c r="D9" s="6" t="s">
        <v>11</v>
      </c>
    </row>
    <row r="10" customFormat="false" ht="17.15" hidden="false" customHeight="false" outlineLevel="0" collapsed="false">
      <c r="B10" s="8" t="s">
        <v>12</v>
      </c>
      <c r="C10" s="13" t="n">
        <v>1</v>
      </c>
      <c r="D10" s="11" t="s">
        <v>13</v>
      </c>
    </row>
    <row r="12" customFormat="false" ht="15" hidden="false" customHeight="false" outlineLevel="0" collapsed="false">
      <c r="B12" s="2" t="s">
        <v>14</v>
      </c>
      <c r="C12" s="3"/>
      <c r="D12" s="3"/>
    </row>
    <row r="13" customFormat="false" ht="17.15" hidden="false" customHeight="false" outlineLevel="0" collapsed="false">
      <c r="B13" s="8" t="s">
        <v>15</v>
      </c>
      <c r="C13" s="5" t="n">
        <v>-0.1</v>
      </c>
      <c r="D13" s="6" t="s">
        <v>16</v>
      </c>
    </row>
    <row r="14" customFormat="false" ht="17.15" hidden="false" customHeight="false" outlineLevel="0" collapsed="false">
      <c r="B14" s="8" t="s">
        <v>17</v>
      </c>
      <c r="C14" s="5" t="n">
        <v>0.1</v>
      </c>
    </row>
    <row r="15" customFormat="false" ht="15" hidden="false" customHeight="false" outlineLevel="0" collapsed="false">
      <c r="B15" s="8" t="s">
        <v>18</v>
      </c>
      <c r="C15" s="5" t="n">
        <v>0.05</v>
      </c>
      <c r="D15" s="6" t="s">
        <v>19</v>
      </c>
    </row>
    <row r="17" customFormat="false" ht="15" hidden="false" customHeight="false" outlineLevel="0" collapsed="false">
      <c r="B17" s="2" t="s">
        <v>20</v>
      </c>
      <c r="C17" s="3"/>
      <c r="D17" s="3"/>
    </row>
    <row r="18" customFormat="false" ht="17.15" hidden="false" customHeight="false" outlineLevel="0" collapsed="false">
      <c r="B18" s="8" t="s">
        <v>21</v>
      </c>
      <c r="C18" s="9" t="n">
        <v>-100</v>
      </c>
      <c r="D18" s="6" t="s">
        <v>22</v>
      </c>
    </row>
    <row r="19" customFormat="false" ht="17.15" hidden="false" customHeight="false" outlineLevel="0" collapsed="false">
      <c r="B19" s="8" t="s">
        <v>23</v>
      </c>
      <c r="C19" s="9" t="n">
        <v>100</v>
      </c>
    </row>
    <row r="20" customFormat="false" ht="17.15" hidden="false" customHeight="false" outlineLevel="0" collapsed="false">
      <c r="B20" s="8" t="s">
        <v>24</v>
      </c>
      <c r="C20" s="9" t="n">
        <v>50</v>
      </c>
    </row>
    <row r="22" customFormat="false" ht="15" hidden="false" customHeight="false" outlineLevel="0" collapsed="false">
      <c r="B22" s="14" t="s">
        <v>25</v>
      </c>
    </row>
    <row r="23" customFormat="false" ht="15" hidden="false" customHeight="false" outlineLevel="0" collapsed="false">
      <c r="B23" s="15" t="s">
        <v>26</v>
      </c>
    </row>
    <row r="24" customFormat="false" ht="15" hidden="false" customHeight="false" outlineLevel="0" collapsed="false">
      <c r="B24" s="15" t="s">
        <v>27</v>
      </c>
    </row>
    <row r="25" customFormat="false" ht="15" hidden="false" customHeight="false" outlineLevel="0" collapsed="false">
      <c r="B25" s="16" t="s">
        <v>28</v>
      </c>
    </row>
    <row r="26" customFormat="false" ht="15" hidden="false" customHeight="false" outlineLevel="0" collapsed="false">
      <c r="B26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2" customFormat="false" ht="20.1" hidden="false" customHeight="false" outlineLevel="0" collapsed="false">
      <c r="B2" s="17" t="s">
        <v>30</v>
      </c>
    </row>
    <row r="3" customFormat="false" ht="15" hidden="false" customHeight="false" outlineLevel="0" collapsed="false">
      <c r="B3" s="18" t="s">
        <v>31</v>
      </c>
    </row>
    <row r="5" customFormat="false" ht="17.15" hidden="false" customHeight="false" outlineLevel="0" collapsed="false">
      <c r="B5" s="8" t="s">
        <v>32</v>
      </c>
      <c r="E5" s="7" t="n">
        <f aca="false">Assumptions!$C$5</f>
        <v>0.045</v>
      </c>
    </row>
    <row r="6" customFormat="false" ht="17.15" hidden="false" customHeight="false" outlineLevel="0" collapsed="false">
      <c r="B6" s="8" t="s">
        <v>33</v>
      </c>
      <c r="E6" s="7" t="n">
        <f aca="false">Assumptions!$C$6</f>
        <v>0.02</v>
      </c>
    </row>
    <row r="7" customFormat="false" ht="17.15" hidden="false" customHeight="false" outlineLevel="0" collapsed="false">
      <c r="B7" s="14" t="s">
        <v>34</v>
      </c>
      <c r="E7" s="19" t="n">
        <f aca="false">E5</f>
        <v>0.045</v>
      </c>
    </row>
    <row r="10" customFormat="false" ht="17.15" hidden="false" customHeight="false" outlineLevel="0" collapsed="false">
      <c r="B10" s="2" t="s">
        <v>35</v>
      </c>
    </row>
    <row r="11" customFormat="false" ht="15" hidden="false" customHeight="false" outlineLevel="0" collapsed="false">
      <c r="B11" s="20" t="s">
        <v>36</v>
      </c>
    </row>
    <row r="12" customFormat="false" ht="17.15" hidden="false" customHeight="false" outlineLevel="0" collapsed="false">
      <c r="B12" s="21" t="s">
        <v>37</v>
      </c>
      <c r="C12" s="22" t="s">
        <v>38</v>
      </c>
      <c r="D12" s="22" t="s">
        <v>39</v>
      </c>
      <c r="E12" s="22" t="s">
        <v>40</v>
      </c>
      <c r="F12" s="22" t="s">
        <v>41</v>
      </c>
    </row>
    <row r="13" customFormat="false" ht="17.15" hidden="false" customHeight="false" outlineLevel="0" collapsed="false">
      <c r="B13" s="23" t="n">
        <f aca="false">Assumptions!$C$13 + 0*Assumptions!$C$15</f>
        <v>-0.1</v>
      </c>
      <c r="C13" s="23" t="n">
        <f aca="false">(1+$E$6)/(1+B13)-1</f>
        <v>0.133333333333333</v>
      </c>
      <c r="D13" s="23" t="n">
        <f aca="false">$E$7</f>
        <v>0.045</v>
      </c>
      <c r="E13" s="24" t="n">
        <f aca="false">C13-D13</f>
        <v>0.0883333333333333</v>
      </c>
      <c r="F13" s="25" t="str">
        <f aca="false">IF(C13&lt;D13,"借USD","借SGD")</f>
        <v>借SGD</v>
      </c>
    </row>
    <row r="14" customFormat="false" ht="17.15" hidden="false" customHeight="false" outlineLevel="0" collapsed="false">
      <c r="B14" s="23" t="n">
        <f aca="false">Assumptions!$C$13 + 1*Assumptions!$C$15</f>
        <v>-0.05</v>
      </c>
      <c r="C14" s="23" t="n">
        <f aca="false">(1+$E$6)/(1+B14)-1</f>
        <v>0.0736842105263158</v>
      </c>
      <c r="D14" s="23" t="n">
        <f aca="false">$E$7</f>
        <v>0.045</v>
      </c>
      <c r="E14" s="24" t="n">
        <f aca="false">C14-D14</f>
        <v>0.0286842105263158</v>
      </c>
      <c r="F14" s="25" t="str">
        <f aca="false">IF(C14&lt;D14,"借USD","借SGD")</f>
        <v>借SGD</v>
      </c>
    </row>
    <row r="15" customFormat="false" ht="17.15" hidden="false" customHeight="false" outlineLevel="0" collapsed="false">
      <c r="B15" s="23" t="n">
        <f aca="false">Assumptions!$C$13 + 2*Assumptions!$C$15</f>
        <v>0</v>
      </c>
      <c r="C15" s="23" t="n">
        <f aca="false">(1+$E$6)/(1+B15)-1</f>
        <v>0.02</v>
      </c>
      <c r="D15" s="23" t="n">
        <f aca="false">$E$7</f>
        <v>0.045</v>
      </c>
      <c r="E15" s="24" t="n">
        <f aca="false">C15-D15</f>
        <v>-0.025</v>
      </c>
      <c r="F15" s="25" t="str">
        <f aca="false">IF(C15&lt;D15,"借USD","借SGD")</f>
        <v>借USD</v>
      </c>
    </row>
    <row r="16" customFormat="false" ht="17.15" hidden="false" customHeight="false" outlineLevel="0" collapsed="false">
      <c r="B16" s="23" t="n">
        <f aca="false">Assumptions!$C$13 + 3*Assumptions!$C$15</f>
        <v>0.05</v>
      </c>
      <c r="C16" s="23" t="n">
        <f aca="false">(1+$E$6)/(1+B16)-1</f>
        <v>-0.0285714285714286</v>
      </c>
      <c r="D16" s="23" t="n">
        <f aca="false">$E$7</f>
        <v>0.045</v>
      </c>
      <c r="E16" s="24" t="n">
        <f aca="false">C16-D16</f>
        <v>-0.0735714285714286</v>
      </c>
      <c r="F16" s="25" t="str">
        <f aca="false">IF(C16&lt;D16,"借USD","借SGD")</f>
        <v>借USD</v>
      </c>
    </row>
    <row r="17" customFormat="false" ht="17.15" hidden="false" customHeight="false" outlineLevel="0" collapsed="false">
      <c r="B17" s="23" t="n">
        <f aca="false">Assumptions!$C$13 + 4*Assumptions!$C$15</f>
        <v>0.1</v>
      </c>
      <c r="C17" s="23" t="n">
        <f aca="false">(1+$E$6)/(1+B17)-1</f>
        <v>-0.0727272727272728</v>
      </c>
      <c r="D17" s="23" t="n">
        <f aca="false">$E$7</f>
        <v>0.045</v>
      </c>
      <c r="E17" s="24" t="n">
        <f aca="false">C17-D17</f>
        <v>-0.117727272727273</v>
      </c>
      <c r="F17" s="25" t="str">
        <f aca="false">IF(C17&lt;D17,"借USD","借SGD")</f>
        <v>借USD</v>
      </c>
    </row>
    <row r="20" customFormat="false" ht="15" hidden="false" customHeight="false" outlineLevel="0" collapsed="false">
      <c r="B20" s="26" t="s">
        <v>42</v>
      </c>
      <c r="E20" s="27" t="n">
        <f aca="false">(1+$E$6)/(1+$E$7)-1</f>
        <v>-0.0239234449760765</v>
      </c>
    </row>
    <row r="21" customFormat="false" ht="15" hidden="false" customHeight="false" outlineLevel="0" collapsed="false">
      <c r="B21" s="18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2" customFormat="false" ht="20.1" hidden="false" customHeight="false" outlineLevel="0" collapsed="false">
      <c r="B2" s="17" t="s">
        <v>44</v>
      </c>
    </row>
    <row r="3" customFormat="false" ht="15" hidden="false" customHeight="false" outlineLevel="0" collapsed="false">
      <c r="B3" s="18" t="s">
        <v>45</v>
      </c>
    </row>
    <row r="5" customFormat="false" ht="17.15" hidden="false" customHeight="false" outlineLevel="0" collapsed="false">
      <c r="B5" s="8" t="s">
        <v>33</v>
      </c>
      <c r="E5" s="7" t="n">
        <f aca="false">Assumptions!$C$6</f>
        <v>0.02</v>
      </c>
    </row>
    <row r="6" customFormat="false" ht="17.15" hidden="false" customHeight="false" outlineLevel="0" collapsed="false">
      <c r="B6" s="8" t="s">
        <v>32</v>
      </c>
      <c r="E6" s="7" t="n">
        <f aca="false">Assumptions!$C$5</f>
        <v>0.045</v>
      </c>
    </row>
    <row r="7" customFormat="false" ht="17.15" hidden="false" customHeight="false" outlineLevel="0" collapsed="false">
      <c r="B7" s="14" t="s">
        <v>46</v>
      </c>
      <c r="E7" s="19" t="n">
        <f aca="false">E5</f>
        <v>0.02</v>
      </c>
    </row>
    <row r="10" customFormat="false" ht="17.15" hidden="false" customHeight="false" outlineLevel="0" collapsed="false">
      <c r="B10" s="2" t="s">
        <v>47</v>
      </c>
    </row>
    <row r="11" customFormat="false" ht="15" hidden="false" customHeight="false" outlineLevel="0" collapsed="false">
      <c r="B11" s="20" t="s">
        <v>48</v>
      </c>
    </row>
    <row r="12" customFormat="false" ht="17.15" hidden="false" customHeight="false" outlineLevel="0" collapsed="false">
      <c r="B12" s="21" t="s">
        <v>49</v>
      </c>
      <c r="C12" s="22" t="s">
        <v>50</v>
      </c>
      <c r="D12" s="22" t="s">
        <v>51</v>
      </c>
      <c r="E12" s="22" t="s">
        <v>40</v>
      </c>
      <c r="F12" s="22" t="s">
        <v>41</v>
      </c>
    </row>
    <row r="13" customFormat="false" ht="17.15" hidden="false" customHeight="false" outlineLevel="0" collapsed="false">
      <c r="B13" s="23" t="n">
        <f aca="false">Assumptions!$C$13 + 0*Assumptions!$C$15</f>
        <v>-0.1</v>
      </c>
      <c r="C13" s="23" t="n">
        <f aca="false">(1+$E$6)/(1+B13)-1</f>
        <v>0.161111111111111</v>
      </c>
      <c r="D13" s="23" t="n">
        <f aca="false">$E$7</f>
        <v>0.02</v>
      </c>
      <c r="E13" s="24" t="n">
        <f aca="false">C13-D13</f>
        <v>0.141111111111111</v>
      </c>
      <c r="F13" s="25" t="str">
        <f aca="false">IF(C13&lt;D13,"借SGD","借USD")</f>
        <v>借USD</v>
      </c>
    </row>
    <row r="14" customFormat="false" ht="17.15" hidden="false" customHeight="false" outlineLevel="0" collapsed="false">
      <c r="B14" s="23" t="n">
        <f aca="false">Assumptions!$C$13 + 1*Assumptions!$C$15</f>
        <v>-0.05</v>
      </c>
      <c r="C14" s="23" t="n">
        <f aca="false">(1+$E$6)/(1+B14)-1</f>
        <v>0.0999999999999999</v>
      </c>
      <c r="D14" s="23" t="n">
        <f aca="false">$E$7</f>
        <v>0.02</v>
      </c>
      <c r="E14" s="24" t="n">
        <f aca="false">C14-D14</f>
        <v>0.0799999999999999</v>
      </c>
      <c r="F14" s="25" t="str">
        <f aca="false">IF(C14&lt;D14,"借SGD","借USD")</f>
        <v>借USD</v>
      </c>
    </row>
    <row r="15" customFormat="false" ht="17.15" hidden="false" customHeight="false" outlineLevel="0" collapsed="false">
      <c r="B15" s="23" t="n">
        <f aca="false">Assumptions!$C$13 + 2*Assumptions!$C$15</f>
        <v>0</v>
      </c>
      <c r="C15" s="23" t="n">
        <f aca="false">(1+$E$6)/(1+B15)-1</f>
        <v>0.0449999999999999</v>
      </c>
      <c r="D15" s="23" t="n">
        <f aca="false">$E$7</f>
        <v>0.02</v>
      </c>
      <c r="E15" s="24" t="n">
        <f aca="false">C15-D15</f>
        <v>0.0249999999999999</v>
      </c>
      <c r="F15" s="25" t="str">
        <f aca="false">IF(C15&lt;D15,"借SGD","借USD")</f>
        <v>借USD</v>
      </c>
    </row>
    <row r="16" customFormat="false" ht="17.15" hidden="false" customHeight="false" outlineLevel="0" collapsed="false">
      <c r="B16" s="23" t="n">
        <f aca="false">Assumptions!$C$13 + 3*Assumptions!$C$15</f>
        <v>0.05</v>
      </c>
      <c r="C16" s="23" t="n">
        <f aca="false">(1+$E$6)/(1+B16)-1</f>
        <v>-0.00476190476190486</v>
      </c>
      <c r="D16" s="23" t="n">
        <f aca="false">$E$7</f>
        <v>0.02</v>
      </c>
      <c r="E16" s="24" t="n">
        <f aca="false">C16-D16</f>
        <v>-0.0247619047619049</v>
      </c>
      <c r="F16" s="25" t="str">
        <f aca="false">IF(C16&lt;D16,"借SGD","借USD")</f>
        <v>借SGD</v>
      </c>
    </row>
    <row r="17" customFormat="false" ht="17.15" hidden="false" customHeight="false" outlineLevel="0" collapsed="false">
      <c r="B17" s="23" t="n">
        <f aca="false">Assumptions!$C$13 + 4*Assumptions!$C$15</f>
        <v>0.1</v>
      </c>
      <c r="C17" s="23" t="n">
        <f aca="false">(1+$E$6)/(1+B17)-1</f>
        <v>-0.0500000000000002</v>
      </c>
      <c r="D17" s="23" t="n">
        <f aca="false">$E$7</f>
        <v>0.02</v>
      </c>
      <c r="E17" s="24" t="n">
        <f aca="false">C17-D17</f>
        <v>-0.0700000000000002</v>
      </c>
      <c r="F17" s="25" t="str">
        <f aca="false">IF(C17&lt;D17,"借SGD","借USD")</f>
        <v>借SGD</v>
      </c>
    </row>
    <row r="20" customFormat="false" ht="15" hidden="false" customHeight="false" outlineLevel="0" collapsed="false">
      <c r="B20" s="26" t="s">
        <v>42</v>
      </c>
      <c r="E20" s="27" t="n">
        <f aca="false">(1+$E$6)/(1+$E$7)-1</f>
        <v>0.0245098039215685</v>
      </c>
    </row>
    <row r="21" customFormat="false" ht="15" hidden="false" customHeight="false" outlineLevel="0" collapsed="false">
      <c r="B21" s="1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</cols>
  <sheetData>
    <row r="2" customFormat="false" ht="20.1" hidden="false" customHeight="false" outlineLevel="0" collapsed="false">
      <c r="B2" s="17" t="s">
        <v>53</v>
      </c>
    </row>
    <row r="3" customFormat="false" ht="15" hidden="false" customHeight="false" outlineLevel="0" collapsed="false">
      <c r="B3" s="18" t="s">
        <v>54</v>
      </c>
    </row>
    <row r="6" customFormat="false" ht="17.15" hidden="false" customHeight="false" outlineLevel="0" collapsed="false">
      <c r="B6" s="21" t="s">
        <v>55</v>
      </c>
      <c r="C6" s="28" t="n">
        <f aca="false">Assumptions!$C$13 + 0*Assumptions!$C$15</f>
        <v>-0.1</v>
      </c>
      <c r="D6" s="28" t="n">
        <f aca="false">Assumptions!$C$13 + 1*Assumptions!$C$15</f>
        <v>-0.05</v>
      </c>
      <c r="E6" s="28" t="n">
        <f aca="false">Assumptions!$C$13 + 2*Assumptions!$C$15</f>
        <v>0</v>
      </c>
      <c r="F6" s="28" t="n">
        <f aca="false">Assumptions!$C$13 + 3*Assumptions!$C$15</f>
        <v>0.05</v>
      </c>
      <c r="G6" s="28" t="n">
        <f aca="false">Assumptions!$C$13 + 4*Assumptions!$C$15</f>
        <v>0.1</v>
      </c>
    </row>
    <row r="7" customFormat="false" ht="15" hidden="false" customHeight="false" outlineLevel="0" collapsed="false">
      <c r="B7" s="29" t="n">
        <f aca="false">Assumptions!$C$17 + 0*Assumptions!$C$19</f>
        <v>0</v>
      </c>
      <c r="C7" s="7" t="n">
        <f aca="false">(1+(Assumptions!$C$6+$B7/10000))/(1+C$6)-1</f>
        <v>0.133333333333333</v>
      </c>
      <c r="D7" s="30" t="n">
        <f aca="false">(1+(Assumptions!$C$6+$B7/10000))/(1+D$6)-1</f>
        <v>0.0736842105263158</v>
      </c>
      <c r="E7" s="7" t="n">
        <f aca="false">(1+(Assumptions!$C$6+$B7/10000))/(1+E$6)-1</f>
        <v>0.02</v>
      </c>
      <c r="F7" s="30" t="n">
        <f aca="false">(1+(Assumptions!$C$6+$B7/10000))/(1+F$6)-1</f>
        <v>-0.0285714285714286</v>
      </c>
      <c r="G7" s="7" t="n">
        <f aca="false">(1+(Assumptions!$C$6+$B7/10000))/(1+G$6)-1</f>
        <v>-0.0727272727272728</v>
      </c>
    </row>
    <row r="8" customFormat="false" ht="15" hidden="false" customHeight="false" outlineLevel="0" collapsed="false">
      <c r="B8" s="29" t="n">
        <f aca="false">Assumptions!$C$17 + 1*Assumptions!$C$19</f>
        <v>100</v>
      </c>
      <c r="C8" s="30" t="n">
        <f aca="false">(1+(Assumptions!$C$6+$B8/10000))/(1+C$6)-1</f>
        <v>0.144444444444444</v>
      </c>
      <c r="D8" s="7" t="n">
        <f aca="false">(1+(Assumptions!$C$6+$B8/10000))/(1+D$6)-1</f>
        <v>0.0842105263157895</v>
      </c>
      <c r="E8" s="30" t="n">
        <f aca="false">(1+(Assumptions!$C$6+$B8/10000))/(1+E$6)-1</f>
        <v>0.03</v>
      </c>
      <c r="F8" s="7" t="n">
        <f aca="false">(1+(Assumptions!$C$6+$B8/10000))/(1+F$6)-1</f>
        <v>-0.0190476190476191</v>
      </c>
      <c r="G8" s="30" t="n">
        <f aca="false">(1+(Assumptions!$C$6+$B8/10000))/(1+G$6)-1</f>
        <v>-0.0636363636363637</v>
      </c>
    </row>
    <row r="9" customFormat="false" ht="15" hidden="false" customHeight="false" outlineLevel="0" collapsed="false">
      <c r="B9" s="29" t="n">
        <f aca="false">Assumptions!$C$17 + 2*Assumptions!$C$19</f>
        <v>200</v>
      </c>
      <c r="C9" s="7" t="n">
        <f aca="false">(1+(Assumptions!$C$6+$B9/10000))/(1+C$6)-1</f>
        <v>0.155555555555556</v>
      </c>
      <c r="D9" s="30" t="n">
        <f aca="false">(1+(Assumptions!$C$6+$B9/10000))/(1+D$6)-1</f>
        <v>0.0947368421052632</v>
      </c>
      <c r="E9" s="7" t="n">
        <f aca="false">(1+(Assumptions!$C$6+$B9/10000))/(1+E$6)-1</f>
        <v>0.04</v>
      </c>
      <c r="F9" s="30" t="n">
        <f aca="false">(1+(Assumptions!$C$6+$B9/10000))/(1+F$6)-1</f>
        <v>-0.00952380952380949</v>
      </c>
      <c r="G9" s="7" t="n">
        <f aca="false">(1+(Assumptions!$C$6+$B9/10000))/(1+G$6)-1</f>
        <v>-0.0545454545454546</v>
      </c>
    </row>
    <row r="10" customFormat="false" ht="15" hidden="false" customHeight="false" outlineLevel="0" collapsed="false">
      <c r="B10" s="29" t="n">
        <f aca="false">Assumptions!$C$17 + 3*Assumptions!$C$19</f>
        <v>300</v>
      </c>
      <c r="C10" s="30" t="n">
        <f aca="false">(1+(Assumptions!$C$6+$B10/10000))/(1+C$6)-1</f>
        <v>0.166666666666667</v>
      </c>
      <c r="D10" s="7" t="n">
        <f aca="false">(1+(Assumptions!$C$6+$B10/10000))/(1+D$6)-1</f>
        <v>0.105263157894737</v>
      </c>
      <c r="E10" s="30" t="n">
        <f aca="false">(1+(Assumptions!$C$6+$B10/10000))/(1+E$6)-1</f>
        <v>0.05</v>
      </c>
      <c r="F10" s="7" t="n">
        <f aca="false">(1+(Assumptions!$C$6+$B10/10000))/(1+F$6)-1</f>
        <v>0</v>
      </c>
      <c r="G10" s="30" t="n">
        <f aca="false">(1+(Assumptions!$C$6+$B10/10000))/(1+G$6)-1</f>
        <v>-0.0454545454545455</v>
      </c>
    </row>
    <row r="11" customFormat="false" ht="15" hidden="false" customHeight="false" outlineLevel="0" collapsed="false">
      <c r="B11" s="29" t="n">
        <f aca="false">Assumptions!$C$17 + 4*Assumptions!$C$19</f>
        <v>400</v>
      </c>
      <c r="C11" s="7" t="n">
        <f aca="false">(1+(Assumptions!$C$6+$B11/10000))/(1+C$6)-1</f>
        <v>0.177777777777778</v>
      </c>
      <c r="D11" s="30" t="n">
        <f aca="false">(1+(Assumptions!$C$6+$B11/10000))/(1+D$6)-1</f>
        <v>0.115789473684211</v>
      </c>
      <c r="E11" s="7" t="n">
        <f aca="false">(1+(Assumptions!$C$6+$B11/10000))/(1+E$6)-1</f>
        <v>0.0600000000000001</v>
      </c>
      <c r="F11" s="30" t="n">
        <f aca="false">(1+(Assumptions!$C$6+$B11/10000))/(1+F$6)-1</f>
        <v>0.00952380952380949</v>
      </c>
      <c r="G11" s="7" t="n">
        <f aca="false">(1+(Assumptions!$C$6+$B11/10000))/(1+G$6)-1</f>
        <v>-0.0363636363636364</v>
      </c>
    </row>
    <row r="13" customFormat="false" ht="17.15" hidden="false" customHeight="false" outlineLevel="0" collapsed="false">
      <c r="B13" s="14" t="s">
        <v>56</v>
      </c>
    </row>
    <row r="14" customFormat="false" ht="15" hidden="false" customHeight="false" outlineLevel="0" collapsed="false">
      <c r="B14" s="1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</cols>
  <sheetData>
    <row r="2" customFormat="false" ht="20.1" hidden="false" customHeight="false" outlineLevel="0" collapsed="false">
      <c r="B2" s="17" t="s">
        <v>58</v>
      </c>
    </row>
    <row r="3" customFormat="false" ht="15" hidden="false" customHeight="false" outlineLevel="0" collapsed="false">
      <c r="B3" s="18" t="s">
        <v>59</v>
      </c>
    </row>
    <row r="6" customFormat="false" ht="17.15" hidden="false" customHeight="false" outlineLevel="0" collapsed="false">
      <c r="B6" s="21" t="s">
        <v>60</v>
      </c>
      <c r="C6" s="28" t="n">
        <f aca="false">Assumptions!$C$13 + 0*Assumptions!$C$15</f>
        <v>-0.1</v>
      </c>
      <c r="D6" s="28" t="n">
        <f aca="false">Assumptions!$C$13 + 1*Assumptions!$C$15</f>
        <v>-0.05</v>
      </c>
      <c r="E6" s="28" t="n">
        <f aca="false">Assumptions!$C$13 + 2*Assumptions!$C$15</f>
        <v>0</v>
      </c>
      <c r="F6" s="28" t="n">
        <f aca="false">Assumptions!$C$13 + 3*Assumptions!$C$15</f>
        <v>0.05</v>
      </c>
      <c r="G6" s="28" t="n">
        <f aca="false">Assumptions!$C$13 + 4*Assumptions!$C$15</f>
        <v>0.1</v>
      </c>
    </row>
    <row r="7" customFormat="false" ht="15" hidden="false" customHeight="false" outlineLevel="0" collapsed="false">
      <c r="B7" s="29" t="n">
        <f aca="false">Assumptions!$C$17 + 0*Assumptions!$C$19</f>
        <v>0</v>
      </c>
      <c r="C7" s="7" t="n">
        <f aca="false">(1+(Assumptions!$C$5+$B7/10000))/(1+C$6)-1</f>
        <v>0.161111111111111</v>
      </c>
      <c r="D7" s="30" t="n">
        <f aca="false">(1+(Assumptions!$C$5+$B7/10000))/(1+D$6)-1</f>
        <v>0.0999999999999999</v>
      </c>
      <c r="E7" s="7" t="n">
        <f aca="false">(1+(Assumptions!$C$5+$B7/10000))/(1+E$6)-1</f>
        <v>0.0449999999999999</v>
      </c>
      <c r="F7" s="30" t="n">
        <f aca="false">(1+(Assumptions!$C$5+$B7/10000))/(1+F$6)-1</f>
        <v>-0.00476190476190486</v>
      </c>
      <c r="G7" s="7" t="n">
        <f aca="false">(1+(Assumptions!$C$5+$B7/10000))/(1+G$6)-1</f>
        <v>-0.0500000000000002</v>
      </c>
    </row>
    <row r="8" customFormat="false" ht="15" hidden="false" customHeight="false" outlineLevel="0" collapsed="false">
      <c r="B8" s="29" t="n">
        <f aca="false">Assumptions!$C$17 + 1*Assumptions!$C$19</f>
        <v>100</v>
      </c>
      <c r="C8" s="30" t="n">
        <f aca="false">(1+(Assumptions!$C$5+$B8/10000))/(1+C$6)-1</f>
        <v>0.172222222222222</v>
      </c>
      <c r="D8" s="7" t="n">
        <f aca="false">(1+(Assumptions!$C$5+$B8/10000))/(1+D$6)-1</f>
        <v>0.110526315789474</v>
      </c>
      <c r="E8" s="30" t="n">
        <f aca="false">(1+(Assumptions!$C$5+$B8/10000))/(1+E$6)-1</f>
        <v>0.0549999999999999</v>
      </c>
      <c r="F8" s="7" t="n">
        <f aca="false">(1+(Assumptions!$C$5+$B8/10000))/(1+F$6)-1</f>
        <v>0.00476190476190475</v>
      </c>
      <c r="G8" s="30" t="n">
        <f aca="false">(1+(Assumptions!$C$5+$B8/10000))/(1+G$6)-1</f>
        <v>-0.040909090909091</v>
      </c>
    </row>
    <row r="9" customFormat="false" ht="15" hidden="false" customHeight="false" outlineLevel="0" collapsed="false">
      <c r="B9" s="29" t="n">
        <f aca="false">Assumptions!$C$17 + 2*Assumptions!$C$19</f>
        <v>200</v>
      </c>
      <c r="C9" s="7" t="n">
        <f aca="false">(1+(Assumptions!$C$5+$B9/10000))/(1+C$6)-1</f>
        <v>0.183333333333333</v>
      </c>
      <c r="D9" s="30" t="n">
        <f aca="false">(1+(Assumptions!$C$5+$B9/10000))/(1+D$6)-1</f>
        <v>0.121052631578947</v>
      </c>
      <c r="E9" s="7" t="n">
        <f aca="false">(1+(Assumptions!$C$5+$B9/10000))/(1+E$6)-1</f>
        <v>0.065</v>
      </c>
      <c r="F9" s="30" t="n">
        <f aca="false">(1+(Assumptions!$C$5+$B9/10000))/(1+F$6)-1</f>
        <v>0.0142857142857142</v>
      </c>
      <c r="G9" s="7" t="n">
        <f aca="false">(1+(Assumptions!$C$5+$B9/10000))/(1+G$6)-1</f>
        <v>-0.031818181818182</v>
      </c>
    </row>
    <row r="10" customFormat="false" ht="15" hidden="false" customHeight="false" outlineLevel="0" collapsed="false">
      <c r="B10" s="29" t="n">
        <f aca="false">Assumptions!$C$17 + 3*Assumptions!$C$19</f>
        <v>300</v>
      </c>
      <c r="C10" s="30" t="n">
        <f aca="false">(1+(Assumptions!$C$5+$B10/10000))/(1+C$6)-1</f>
        <v>0.194444444444444</v>
      </c>
      <c r="D10" s="7" t="n">
        <f aca="false">(1+(Assumptions!$C$5+$B10/10000))/(1+D$6)-1</f>
        <v>0.131578947368421</v>
      </c>
      <c r="E10" s="30" t="n">
        <f aca="false">(1+(Assumptions!$C$5+$B10/10000))/(1+E$6)-1</f>
        <v>0.075</v>
      </c>
      <c r="F10" s="7" t="n">
        <f aca="false">(1+(Assumptions!$C$5+$B10/10000))/(1+F$6)-1</f>
        <v>0.0238095238095237</v>
      </c>
      <c r="G10" s="30" t="n">
        <f aca="false">(1+(Assumptions!$C$5+$B10/10000))/(1+G$6)-1</f>
        <v>-0.0227272727272728</v>
      </c>
    </row>
    <row r="11" customFormat="false" ht="15" hidden="false" customHeight="false" outlineLevel="0" collapsed="false">
      <c r="B11" s="29" t="n">
        <f aca="false">Assumptions!$C$17 + 4*Assumptions!$C$19</f>
        <v>400</v>
      </c>
      <c r="C11" s="7" t="n">
        <f aca="false">(1+(Assumptions!$C$5+$B11/10000))/(1+C$6)-1</f>
        <v>0.205555555555556</v>
      </c>
      <c r="D11" s="30" t="n">
        <f aca="false">(1+(Assumptions!$C$5+$B11/10000))/(1+D$6)-1</f>
        <v>0.142105263157895</v>
      </c>
      <c r="E11" s="7" t="n">
        <f aca="false">(1+(Assumptions!$C$5+$B11/10000))/(1+E$6)-1</f>
        <v>0.085</v>
      </c>
      <c r="F11" s="30" t="n">
        <f aca="false">(1+(Assumptions!$C$5+$B11/10000))/(1+F$6)-1</f>
        <v>0.0333333333333332</v>
      </c>
      <c r="G11" s="7" t="n">
        <f aca="false">(1+(Assumptions!$C$5+$B11/10000))/(1+G$6)-1</f>
        <v>-0.0136363636363638</v>
      </c>
    </row>
    <row r="13" customFormat="false" ht="17.15" hidden="false" customHeight="false" outlineLevel="0" collapsed="false">
      <c r="B13" s="14" t="s">
        <v>61</v>
      </c>
    </row>
    <row r="14" customFormat="false" ht="15" hidden="false" customHeight="false" outlineLevel="0" collapsed="false">
      <c r="B14" s="1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2026-07-15T09:10:37Z</dcterms:created>
  <dc:creator>openpyxl</dc:creator>
  <dc:description/>
  <dc:language>en-US</dc:language>
  <cp:lastModifiedBy/>
  <dcterms:modified xsi:type="dcterms:W3CDTF">2026-07-15T09:10:37Z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